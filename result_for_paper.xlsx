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omeostatic-market\"/>
    </mc:Choice>
  </mc:AlternateContent>
  <xr:revisionPtr revIDLastSave="0" documentId="13_ncr:1_{0B7305B4-B648-4E3A-AACC-E671E97F2197}" xr6:coauthVersionLast="47" xr6:coauthVersionMax="47" xr10:uidLastSave="{00000000-0000-0000-0000-000000000000}"/>
  <bookViews>
    <workbookView xWindow="-108" yWindow="-108" windowWidth="23256" windowHeight="12456" xr2:uid="{3CCB54B1-1E9D-41BB-AEF0-B3AF818FC305}"/>
  </bookViews>
  <sheets>
    <sheet name="ablation 5.22" sheetId="15" r:id="rId1"/>
    <sheet name="어블리션재설계" sheetId="14" r:id="rId2"/>
    <sheet name="Ablation Summary" sheetId="11" r:id="rId3"/>
    <sheet name="HP Sweep Grid" sheetId="12" r:id="rId4"/>
    <sheet name="tuning_log" sheetId="8" state="hidden" r:id="rId5"/>
    <sheet name="tunning" sheetId="13" r:id="rId6"/>
    <sheet name="최초성공결과" sheetId="7" r:id="rId7"/>
    <sheet name="실험_3" sheetId="6" state="hidden" r:id="rId8"/>
    <sheet name="실험v2" sheetId="4" state="hidden" r:id="rId9"/>
    <sheet name="실험_1" sheetId="1" r:id="rId10"/>
    <sheet name="실험_1_코랩" sheetId="3" state="hidden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6" l="1"/>
  <c r="A5" i="6" s="1"/>
  <c r="A6" i="6" s="1"/>
  <c r="A7" i="6" s="1"/>
  <c r="A8" i="6" s="1"/>
  <c r="A9" i="6" s="1"/>
  <c r="A10" i="6" s="1"/>
  <c r="A11" i="6" s="1"/>
  <c r="A12" i="6" s="1"/>
  <c r="A13" i="6" s="1"/>
  <c r="A3" i="6"/>
  <c r="A22" i="6"/>
  <c r="A23" i="6" s="1"/>
  <c r="A24" i="6" s="1"/>
  <c r="A25" i="6" s="1"/>
  <c r="A26" i="6" s="1"/>
  <c r="A19" i="1"/>
  <c r="A20" i="1" s="1"/>
  <c r="A21" i="1" s="1"/>
  <c r="A22" i="1" s="1"/>
  <c r="A23" i="1" s="1"/>
</calcChain>
</file>

<file path=xl/sharedStrings.xml><?xml version="1.0" encoding="utf-8"?>
<sst xmlns="http://schemas.openxmlformats.org/spreadsheetml/2006/main" count="1070" uniqueCount="612">
  <si>
    <t>IN cond</t>
  </si>
  <si>
    <t>IN past target</t>
  </si>
  <si>
    <t>OUT future target</t>
  </si>
  <si>
    <t>sp_return (1ch × past 52w)</t>
  </si>
  <si>
    <t>sp_return (1ch × future 52w)</t>
  </si>
  <si>
    <t>Base (K2_pure_ppbond)</t>
  </si>
  <si>
    <t>Stage 1 (MacroExpander)</t>
  </si>
  <si>
    <t>Stage 2 (PriceGenerator)</t>
  </si>
  <si>
    <t>excess_liq_wr (1ch × past)</t>
    <phoneticPr fontId="1" type="noConversion"/>
  </si>
  <si>
    <t>excess_liq_wr (1ch × future)</t>
    <phoneticPr fontId="1" type="noConversion"/>
  </si>
  <si>
    <t>Stage 2 (대조군)</t>
    <phoneticPr fontId="1" type="noConversion"/>
  </si>
  <si>
    <t>excess_liq_wr (1ch × past),
sp_return (1ch × past 52w)</t>
    <phoneticPr fontId="1" type="noConversion"/>
  </si>
  <si>
    <t>excess_liq_wr (1ch × future)
sp_return (1ch × future 52w)</t>
    <phoneticPr fontId="1" type="noConversion"/>
  </si>
  <si>
    <t xml:space="preserve">excess_liq_wr (1ch × past),
sp_return (1ch × past 52w),
vix_wr (1ch × past 52w) </t>
    <phoneticPr fontId="1" type="noConversion"/>
  </si>
  <si>
    <t>excess_liq_wr (1ch × future),
sp_return (1ch × future 52w),
vix_wr (1ch × future 52w)</t>
    <phoneticPr fontId="1" type="noConversion"/>
  </si>
  <si>
    <t>Stage 1 (vix)</t>
    <phoneticPr fontId="1" type="noConversion"/>
  </si>
  <si>
    <t>vix_wr (1ch × past)</t>
    <phoneticPr fontId="1" type="noConversion"/>
  </si>
  <si>
    <t>vix_wr (1ch × future)</t>
    <phoneticPr fontId="1" type="noConversion"/>
  </si>
  <si>
    <t>model</t>
    <phoneticPr fontId="1" type="noConversion"/>
  </si>
  <si>
    <t>MTL(2 채널, bondpp_3m)</t>
    <phoneticPr fontId="1" type="noConversion"/>
  </si>
  <si>
    <t xml:space="preserve">sp_return (1ch × past 52w),
bondpp_3m (1ch × past 52w) </t>
    <phoneticPr fontId="1" type="noConversion"/>
  </si>
  <si>
    <t>sp_return (1ch × future 52w),
bondpp_3m (1ch × future 52w)</t>
    <phoneticPr fontId="1" type="noConversion"/>
  </si>
  <si>
    <t>MTL(3 채널, liq, bondpp_3m)</t>
    <phoneticPr fontId="1" type="noConversion"/>
  </si>
  <si>
    <t xml:space="preserve">excess_liq_wr (1ch × past),
sp_return (1ch × past 52w),
bondpp_3m (1ch × past 52w) </t>
    <phoneticPr fontId="1" type="noConversion"/>
  </si>
  <si>
    <t>excess_liq_wr (1ch × future),
sp_return (1ch × future 52w),
bondpp_3m (1ch × future 52w)</t>
    <phoneticPr fontId="1" type="noConversion"/>
  </si>
  <si>
    <t>MTL(2 채널, bondpp_3m정규)</t>
    <phoneticPr fontId="1" type="noConversion"/>
  </si>
  <si>
    <t>MTL(3 채널, liq, bondpp_3m정규)</t>
    <phoneticPr fontId="1" type="noConversion"/>
  </si>
  <si>
    <t xml:space="preserve">excess_liq_wr (1ch × past),
sp_return (1ch × past 52w),
bondpp_3m정규 (1ch × past 52w) </t>
    <phoneticPr fontId="1" type="noConversion"/>
  </si>
  <si>
    <t>excess_liq_wr (1ch × future),
sp_return (1ch × future 52w),
bondpp_3m정규 (1ch × future 52w)</t>
    <phoneticPr fontId="1" type="noConversion"/>
  </si>
  <si>
    <t>Base (without liqudity)</t>
    <phoneticPr fontId="1" type="noConversion"/>
  </si>
  <si>
    <t>Base (add bondpp)</t>
    <phoneticPr fontId="1" type="noConversion"/>
  </si>
  <si>
    <t>MTL(3 채널, bondpp_3m, vix)</t>
    <phoneticPr fontId="1" type="noConversion"/>
  </si>
  <si>
    <t xml:space="preserve">sp_return (1ch × past 52w),
bondpp_3m (1ch × past 52w), 
vix_wr (1ch × past 52w) </t>
    <phoneticPr fontId="1" type="noConversion"/>
  </si>
  <si>
    <t>sp_return (1ch × future 52w),
bondpp_3m (1ch × future 52w),
vix_wr (1ch × future 52w)</t>
    <phoneticPr fontId="1" type="noConversion"/>
  </si>
  <si>
    <t>MTL(2 채널, liq)</t>
    <phoneticPr fontId="1" type="noConversion"/>
  </si>
  <si>
    <t>MTL(3 채널,liq, vix)</t>
    <phoneticPr fontId="1" type="noConversion"/>
  </si>
  <si>
    <t>MTL(2 채널, vix)</t>
    <phoneticPr fontId="1" type="noConversion"/>
  </si>
  <si>
    <t>vix_wr (1ch × past),
sp_return (1ch × past 52w)</t>
    <phoneticPr fontId="1" type="noConversion"/>
  </si>
  <si>
    <t>vix_wr (1ch × future)
sp_return (1ch × future 52w)</t>
    <phoneticPr fontId="1" type="noConversion"/>
  </si>
  <si>
    <t>-2.0737 ± 0.1403  median=-2.0747</t>
  </si>
  <si>
    <t>MTL(2 채널, stockpp_3m)</t>
    <phoneticPr fontId="1" type="noConversion"/>
  </si>
  <si>
    <t>stockpp_3m (1ch × past),
sp_return (1ch × past 52w)</t>
    <phoneticPr fontId="1" type="noConversion"/>
  </si>
  <si>
    <t>stockpp_3m (1ch × future)
sp_return (1ch × future 52w)</t>
    <phoneticPr fontId="1" type="noConversion"/>
  </si>
  <si>
    <t>-2.0275 ± 0.1540</t>
  </si>
  <si>
    <t>past: tbill_wr(1ch × 52w)
future: tbill_wr (1ch × 52w)</t>
    <phoneticPr fontId="1" type="noConversion"/>
  </si>
  <si>
    <t>tbill_wr, excess_liq_wr (2ch × 104w)</t>
    <phoneticPr fontId="1" type="noConversion"/>
  </si>
  <si>
    <t>tbill_wr(1ch × 104w)</t>
    <phoneticPr fontId="1" type="noConversion"/>
  </si>
  <si>
    <t>tbill_wr, excess_liq_wr,bondpp_3m (3ch × 104w)</t>
    <phoneticPr fontId="1" type="noConversion"/>
  </si>
  <si>
    <t>past: tbill_wr, excess_liq_w (3ch × 52w)
future: tbill_wr (2ch × 52w)</t>
    <phoneticPr fontId="1" type="noConversion"/>
  </si>
  <si>
    <t>past: tbill_wr, (2ch × 52w)
future: tbill_wr (1ch × 52w)</t>
    <phoneticPr fontId="1" type="noConversion"/>
  </si>
  <si>
    <t>past: tbill_wr, excess_liq_wr(2ch × 52w)
future: tbill_wr (1ch × 52w)</t>
    <phoneticPr fontId="1" type="noConversion"/>
  </si>
  <si>
    <t xml:space="preserve">past: tbill_wr, excess_liq_wr (2ch × 52w)
future: tbill_wr </t>
    <phoneticPr fontId="1" type="noConversion"/>
  </si>
  <si>
    <t>past: tbill_wr, excess_liq_w (2ch × 52w)
future: tbill_wr, excess_liq_w(generated by stage1) (3ch × 52w)</t>
    <phoneticPr fontId="1" type="noConversion"/>
  </si>
  <si>
    <t>past: tbill_wr, excess_liq_w (2ch × 52w)
future: tbill_wr (1ch × 52w)</t>
    <phoneticPr fontId="1" type="noConversion"/>
  </si>
  <si>
    <t>-2.1338 ± 0.0934</t>
  </si>
  <si>
    <t>-2.1720</t>
  </si>
  <si>
    <t>-1.9445 ± 0.0964</t>
  </si>
  <si>
    <t>MTL(3 채널,bondpp_3m정규, vix)</t>
    <phoneticPr fontId="1" type="noConversion"/>
  </si>
  <si>
    <t xml:space="preserve">vix_wr(1ch × past),
sp_return (1ch × past 52w),
bondpp_3m정규 (1ch × past 52w) </t>
    <phoneticPr fontId="1" type="noConversion"/>
  </si>
  <si>
    <t>vix_wr(1ch × future),
sp_return (1ch × future 52w),
bondpp_3m정규 (1ch × future 52w)</t>
    <phoneticPr fontId="1" type="noConversion"/>
  </si>
  <si>
    <t>MTL(3 채널,bondpp_3m, vix)</t>
    <phoneticPr fontId="1" type="noConversion"/>
  </si>
  <si>
    <t xml:space="preserve">vix_wr(1ch × past),
sp_return (1ch × past 52w),
bondpp_3m (1ch × past 52w) </t>
    <phoneticPr fontId="1" type="noConversion"/>
  </si>
  <si>
    <t>vix_wr(1ch × future),
sp_return (1ch × future 52w),
bondpp_3m (1ch × future 52w)</t>
    <phoneticPr fontId="1" type="noConversion"/>
  </si>
  <si>
    <t>==================================================================================================================================</t>
  </si>
  <si>
    <t>sp_return Test NLL  (full + tail; 폭락 = future 52w 평균 하위 10.0%, n_tail=42)</t>
  </si>
  <si>
    <t xml:space="preserve">  #  variant                                   full median       full mean ± std  tail median       tail mean ± std    n</t>
  </si>
  <si>
    <t>----------------------------------------------------------------------------------------------------------------------------------</t>
  </si>
  <si>
    <t xml:space="preserve">  1  Base (K2_pure_ppbond)                         -1.7445   -1.7485 ±  0.250         +0.0203   +0.0439 ±  0.828       5</t>
  </si>
  <si>
    <t xml:space="preserve">  2  Base (without liquidity)                      -1.6314   -1.6484 ±  0.181         +0.7531   +0.7081 ±  0.987       5</t>
  </si>
  <si>
    <t xml:space="preserve">  3  Base (add bondpp)                             -1.8781   -1.3308 ±  1.236         -1.0804   -0.3785 ±  2.129       5</t>
  </si>
  <si>
    <t xml:space="preserve">  4  Stage 1 (MacroExpander)                             ?           ? (no ckpt)            ?           ? (no ckpt)    0</t>
  </si>
  <si>
    <t xml:space="preserve">  5  Stage 1 (vix)                                       ?           ? (no ckpt)            ?           ? (no ckpt)    0</t>
  </si>
  <si>
    <t xml:space="preserve">  6  Stage 2 (PriceGenerator)                      -1.9043   -1.8837 ±  0.102         -0.8720   -0.6970 ±  0.471       5</t>
  </si>
  <si>
    <r>
      <t xml:space="preserve"># </t>
    </r>
    <r>
      <rPr>
        <sz val="8"/>
        <rFont val="돋움"/>
        <family val="3"/>
        <charset val="129"/>
      </rPr>
      <t>폭락</t>
    </r>
    <r>
      <rPr>
        <sz val="8"/>
        <rFont val="Segoe UI"/>
        <family val="2"/>
      </rPr>
      <t xml:space="preserve"> </t>
    </r>
    <r>
      <rPr>
        <sz val="8"/>
        <rFont val="돋움"/>
        <family val="3"/>
        <charset val="129"/>
      </rPr>
      <t>정의</t>
    </r>
    <r>
      <rPr>
        <sz val="8"/>
        <rFont val="Segoe UI"/>
        <family val="2"/>
      </rPr>
      <t>: future 52</t>
    </r>
    <r>
      <rPr>
        <sz val="8"/>
        <rFont val="돋움"/>
        <family val="3"/>
        <charset val="129"/>
      </rPr>
      <t>주</t>
    </r>
    <r>
      <rPr>
        <sz val="8"/>
        <rFont val="Segoe UI"/>
        <family val="2"/>
      </rPr>
      <t xml:space="preserve"> </t>
    </r>
    <r>
      <rPr>
        <sz val="8"/>
        <rFont val="돋움"/>
        <family val="3"/>
        <charset val="129"/>
      </rPr>
      <t>평균</t>
    </r>
    <r>
      <rPr>
        <sz val="8"/>
        <rFont val="Segoe UI"/>
        <family val="2"/>
      </rPr>
      <t xml:space="preserve"> sp_return </t>
    </r>
    <r>
      <rPr>
        <sz val="8"/>
        <rFont val="돋움"/>
        <family val="3"/>
        <charset val="129"/>
      </rPr>
      <t>하위</t>
    </r>
    <r>
      <rPr>
        <sz val="8"/>
        <rFont val="Segoe UI"/>
        <family val="2"/>
      </rPr>
      <t xml:space="preserve"> 10.0%  |  threshold = -0.001529  |  n_tail/total = 42/413  |  device = cuda</t>
    </r>
  </si>
  <si>
    <r>
      <t xml:space="preserve">  7  Stage 2 (</t>
    </r>
    <r>
      <rPr>
        <sz val="9.9"/>
        <rFont val="돋움"/>
        <family val="3"/>
        <charset val="129"/>
      </rPr>
      <t>대조군</t>
    </r>
    <r>
      <rPr>
        <sz val="9.9"/>
        <rFont val="Courier New"/>
        <family val="3"/>
      </rPr>
      <t>)                                 -1.9433   -1.9073 ±  0.163         -0.4518   -0.3736 ±  0.998       5</t>
    </r>
  </si>
  <si>
    <r>
      <t xml:space="preserve">  8  MTL(2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liq)                                -2.0988   -1.8367 ±  0.653         -1.0209   -0.7380 ±  1.032       5</t>
    </r>
  </si>
  <si>
    <r>
      <t xml:space="preserve">  9  MTL(2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vix)                                -1.2755   -1.3875 ±  0.578         -0.5290   +0.2353 ±  1.170       5</t>
    </r>
  </si>
  <si>
    <r>
      <t xml:space="preserve"> 10  MTL(2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bondpp_3m)                          -2.0370   -1.9111 ±  0.297         -0.5088   -0.6724 ±  0.691       5</t>
    </r>
  </si>
  <si>
    <r>
      <t xml:space="preserve"> 11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bondpp_3m, vix)                     -2.0912   -1.9820 ±  0.263         -0.7360   -0.6853 ±  1.003       5</t>
    </r>
  </si>
  <si>
    <r>
      <t xml:space="preserve"> 12  MTL(2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bondpp_3m</t>
    </r>
    <r>
      <rPr>
        <sz val="9.9"/>
        <rFont val="돋움"/>
        <family val="3"/>
        <charset val="129"/>
      </rPr>
      <t>정규</t>
    </r>
    <r>
      <rPr>
        <sz val="9.9"/>
        <rFont val="Courier New"/>
        <family val="3"/>
      </rPr>
      <t>)                        -2.1590   -2.1100 ±  0.102         -1.3710   -1.4151 ±  0.243       5</t>
    </r>
  </si>
  <si>
    <r>
      <t xml:space="preserve"> 13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liq, bondpp_3m)                     -2.0369   -1.8890 ±  0.259         -0.9282   -0.5697 ±  0.815       5</t>
    </r>
  </si>
  <si>
    <r>
      <t xml:space="preserve"> 14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liq, bondpp_3m</t>
    </r>
    <r>
      <rPr>
        <sz val="9.9"/>
        <rFont val="돋움"/>
        <family val="3"/>
        <charset val="129"/>
      </rPr>
      <t>정규</t>
    </r>
    <r>
      <rPr>
        <sz val="9.9"/>
        <rFont val="Courier New"/>
        <family val="3"/>
      </rPr>
      <t>)                   -1.9450   -1.4719 ±  0.888         -1.4735   -1.3148 ±  0.633       5</t>
    </r>
  </si>
  <si>
    <r>
      <t xml:space="preserve"> 15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liq, vix)                           -2.0306   -1.9514 ±  0.223         -0.5482   -0.6982 ±  0.488       5</t>
    </r>
  </si>
  <si>
    <r>
      <t xml:space="preserve"> 16  MTL(2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stockpp_3m)                         -1.9611   -2.0000 ±  0.069         -0.8708   -0.8525 ±  0.194       5</t>
    </r>
  </si>
  <si>
    <r>
      <t xml:space="preserve"> 17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bondpp_3m) [no-liq cond]            -1.9824   -1.7898 ±  0.387         -0.7342   -0.7822 ±  0.934       5</t>
    </r>
  </si>
  <si>
    <r>
      <t xml:space="preserve"> 18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bondpp_3m</t>
    </r>
    <r>
      <rPr>
        <sz val="9.9"/>
        <rFont val="돋움"/>
        <family val="3"/>
        <charset val="129"/>
      </rPr>
      <t>정규</t>
    </r>
    <r>
      <rPr>
        <sz val="9.9"/>
        <rFont val="Courier New"/>
        <family val="3"/>
      </rPr>
      <t>) [no-liq cond]          -2.1541   -2.0678 ±  0.320         -1.5932   -1.3450 ±  0.735       5</t>
    </r>
  </si>
  <si>
    <r>
      <t xml:space="preserve"> 19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bondpp_3m, vix) [no-liq cond]       -2.1012   -2.0767 ±  0.174         -0.9982   -0.8688 ±  0.505       5</t>
    </r>
  </si>
  <si>
    <r>
      <t xml:space="preserve"> 20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bondpp_3m</t>
    </r>
    <r>
      <rPr>
        <sz val="9.9"/>
        <rFont val="돋움"/>
        <family val="3"/>
        <charset val="129"/>
      </rPr>
      <t>정규</t>
    </r>
    <r>
      <rPr>
        <sz val="9.9"/>
        <rFont val="Courier New"/>
        <family val="3"/>
      </rPr>
      <t>, vix) [no-liq cond]      -2.0982   -1.7616 ±  0.790         -1.4792   -1.5503 ±  0.292       5</t>
    </r>
  </si>
  <si>
    <r>
      <t xml:space="preserve"> 21  MTL(3 </t>
    </r>
    <r>
      <rPr>
        <sz val="9.9"/>
        <rFont val="돋움"/>
        <family val="3"/>
        <charset val="129"/>
      </rPr>
      <t>채널</t>
    </r>
    <r>
      <rPr>
        <sz val="9.9"/>
        <rFont val="Courier New"/>
        <family val="3"/>
      </rPr>
      <t>, bondpp_3m, vix</t>
    </r>
    <r>
      <rPr>
        <sz val="9.9"/>
        <rFont val="돋움"/>
        <family val="3"/>
        <charset val="129"/>
      </rPr>
      <t>정규</t>
    </r>
    <r>
      <rPr>
        <sz val="9.9"/>
        <rFont val="Courier New"/>
        <family val="3"/>
      </rPr>
      <t>) [no-liq cond]      -2.1376   -2.1339 ±  0.108         -1.6966   -1.5110 ±  0.588       5</t>
    </r>
  </si>
  <si>
    <t>MTL(3 채널,bondpp_3m, vix정규)</t>
    <phoneticPr fontId="1" type="noConversion"/>
  </si>
  <si>
    <t>Base (add bondpp)</t>
  </si>
  <si>
    <t>Stage 1 (vix)</t>
  </si>
  <si>
    <t>MTL(3 채널, bondpp_3m, vix)</t>
  </si>
  <si>
    <t>MTL(2 채널, stockpp_3m)</t>
  </si>
  <si>
    <t>MTL(3 채널, bondpp_3m, stockpp_3m)</t>
  </si>
  <si>
    <t>MTL(3 채널, bondpp_3m, stockpp_3m)</t>
    <phoneticPr fontId="1" type="noConversion"/>
  </si>
  <si>
    <t>sp_return (1ch × future 52w),
bondpp_3m (1ch × future 52w),
stockpp_3m (1ch × future 52w)</t>
    <phoneticPr fontId="1" type="noConversion"/>
  </si>
  <si>
    <t>행</t>
  </si>
  <si>
    <t>모델</t>
  </si>
  <si>
    <t>sp NLL (full) median</t>
  </si>
  <si>
    <t>full mean ± std</t>
  </si>
  <si>
    <t>tail NLL median</t>
  </si>
  <si>
    <t>tail mean ± std</t>
  </si>
  <si>
    <t>n</t>
  </si>
  <si>
    <t>매핑 결과 #</t>
  </si>
  <si>
    <t>비고</t>
  </si>
  <si>
    <t>−1.997</t>
  </si>
  <si>
    <t>−1.862 ± 0.263</t>
  </si>
  <si>
    <t>−0.202</t>
  </si>
  <si>
    <t>+0.115 ± 0.947</t>
  </si>
  <si>
    <t>5</t>
  </si>
  <si>
    <t>#1</t>
  </si>
  <si>
    <t>정규 대상 없음</t>
  </si>
  <si>
    <t>Base (without liquidity)</t>
  </si>
  <si>
    <t>−1.670</t>
  </si>
  <si>
    <t>−1.407 ± 0.562</t>
  </si>
  <si>
    <t>+2.306 ± 2.500</t>
  </si>
  <si>
    <t>#2</t>
  </si>
  <si>
    <t>(raw −1.731)</t>
  </si>
  <si>
    <t>−1.389 ± 0.763</t>
  </si>
  <si>
    <t>(raw −0.688)</t>
  </si>
  <si>
    <t>−0.228 ± 1.932</t>
  </si>
  <si>
    <t>#3</t>
  </si>
  <si>
    <r>
      <t>⚠ </t>
    </r>
    <r>
      <rPr>
        <b/>
        <sz val="8"/>
        <color rgb="FFCCCCCC"/>
        <rFont val="Segoe UI"/>
        <family val="2"/>
      </rPr>
      <t>정규 bondpp 버전 학습 미실시</t>
    </r>
  </si>
  <si>
    <t>n/a</t>
  </si>
  <si>
    <t>—</t>
  </si>
  <si>
    <t>#4</t>
  </si>
  <si>
    <t>sp target 없음 → 평가 불가</t>
  </si>
  <si>
    <t>#24</t>
  </si>
  <si>
    <t>sp target 없음. ckpt 자체는 정규 vix 로 학습됨</t>
  </si>
  <si>
    <t>−1.869</t>
  </si>
  <si>
    <t>−1.433 ± 0.741</t>
  </si>
  <si>
    <t>−0.281</t>
  </si>
  <si>
    <t>−0.299 ± 0.865</t>
  </si>
  <si>
    <t>#6</t>
  </si>
  <si>
    <t>Stage 2 (대조군)</t>
  </si>
  <si>
    <t>−1.926</t>
  </si>
  <si>
    <t>−1.744 ± 0.381</t>
  </si>
  <si>
    <t>+0.613 ± 1.088</t>
  </si>
  <si>
    <t>#7</t>
  </si>
  <si>
    <t>MTL(2채널, liq)</t>
  </si>
  <si>
    <t>−2.088</t>
  </si>
  <si>
    <t>−1.965 ± 0.195</t>
  </si>
  <si>
    <t>−0.991</t>
  </si>
  <si>
    <t>−0.611 ± 0.835</t>
  </si>
  <si>
    <t>#8</t>
  </si>
  <si>
    <t>MTL(2채널, vix)</t>
  </si>
  <si>
    <t>−1.846</t>
  </si>
  <si>
    <t>−1.917 ± 0.158</t>
  </si>
  <si>
    <t>−1.079</t>
  </si>
  <si>
    <t>−0.920 ± 0.357</t>
  </si>
  <si>
    <t>#25</t>
  </si>
  <si>
    <t>vix 정규</t>
  </si>
  <si>
    <t>MTL(2채널, bondpp_3m)</t>
  </si>
  <si>
    <t>−1.976</t>
  </si>
  <si>
    <t>−1.945 ± 0.206</t>
  </si>
  <si>
    <t>−1.093</t>
  </si>
  <si>
    <t>−1.260 ± 0.325</t>
  </si>
  <si>
    <t>#12</t>
  </si>
  <si>
    <t>bondpp 정규</t>
  </si>
  <si>
    <t>MTL(2채널, stockpp_3m)</t>
  </si>
  <si>
    <t>−2.049</t>
  </si>
  <si>
    <t>−1.887 ± 0.504</t>
  </si>
  <si>
    <t>−0.996</t>
  </si>
  <si>
    <t>−0.969 ± 0.542</t>
  </si>
  <si>
    <t>#22</t>
  </si>
  <si>
    <t>stockpp 정규</t>
  </si>
  <si>
    <t>MTL(3채널, bondpp_3m, vix)</t>
  </si>
  <si>
    <r>
      <t>−1.656</t>
    </r>
    <r>
      <rPr>
        <sz val="8"/>
        <color rgb="FFCCCCCC"/>
        <rFont val="Segoe UI"/>
        <family val="2"/>
      </rPr>
      <t> ⚠</t>
    </r>
  </si>
  <si>
    <t>−1.647 ± 0.436</t>
  </si>
  <si>
    <t>−0.591</t>
  </si>
  <si>
    <t>−0.235 ± 1.425</t>
  </si>
  <si>
    <t>#26</t>
  </si>
  <si>
    <t>bondpp+vix 동시 정규 (학습 깨짐)</t>
  </si>
  <si>
    <t>MTL(3채널, bondpp_3m, stockpp_3m)</t>
  </si>
  <si>
    <t>−2.138</t>
  </si>
  <si>
    <t>−2.137 ± 0.108</t>
  </si>
  <si>
    <t>−1.546</t>
  </si>
  <si>
    <t>−1.476 ± 0.312</t>
  </si>
  <si>
    <t>#23</t>
  </si>
  <si>
    <t>bondpp+stockpp 정규</t>
  </si>
  <si>
    <t>14 [bold]</t>
  </si>
  <si>
    <t>MTL(3채널, liq, bondpp_3m)</t>
  </si>
  <si>
    <r>
      <t>−2.191</t>
    </r>
    <r>
      <rPr>
        <sz val="8"/>
        <color rgb="FFCCCCCC"/>
        <rFont val="Segoe UI"/>
        <family val="2"/>
      </rPr>
      <t> ★</t>
    </r>
  </si>
  <si>
    <t>−2.187 ± 0.084</t>
  </si>
  <si>
    <r>
      <t>−1.734</t>
    </r>
    <r>
      <rPr>
        <sz val="8"/>
        <color rgb="FFCCCCCC"/>
        <rFont val="Segoe UI"/>
        <family val="2"/>
      </rPr>
      <t> ★</t>
    </r>
  </si>
  <si>
    <t>−1.614 ± 0.297</t>
  </si>
  <si>
    <t>#14</t>
  </si>
  <si>
    <r>
      <t>bondpp 정규 — </t>
    </r>
    <r>
      <rPr>
        <b/>
        <sz val="8"/>
        <color rgb="FFCCCCCC"/>
        <rFont val="Segoe UI"/>
        <family val="2"/>
      </rPr>
      <t>best</t>
    </r>
    <r>
      <rPr>
        <sz val="8"/>
        <color rgb="FFCCCCCC"/>
        <rFont val="Segoe UI"/>
        <family val="2"/>
      </rPr>
      <t>. cond 2ch 가정</t>
    </r>
  </si>
  <si>
    <t>15 [bold]</t>
  </si>
  <si>
    <t>MTL(3채널, liq, vix)</t>
  </si>
  <si>
    <t>−2.121</t>
  </si>
  <si>
    <t>−1.916 ± 0.384</t>
  </si>
  <si>
    <t>−1.301</t>
  </si>
  <si>
    <t>−0.825 ± 0.752</t>
  </si>
  <si>
    <t>#27</t>
  </si>
  <si>
    <t>(−1.895)</t>
  </si>
  <si>
    <t>−1.998 ± 0.175</t>
  </si>
  <si>
    <t>(−1.169)</t>
  </si>
  <si>
    <t>−1.107 ± 0.439</t>
  </si>
  <si>
    <t>#18 (가설)</t>
  </si>
  <si>
    <t>14와 동일 표기 — cond 1ch (no-liq) 가설 매핑</t>
  </si>
  <si>
    <t>17 [bold]</t>
  </si>
  <si>
    <r>
      <t>−1.818</t>
    </r>
    <r>
      <rPr>
        <sz val="8"/>
        <color rgb="FFCCCCCC"/>
        <rFont val="Segoe UI"/>
        <family val="2"/>
      </rPr>
      <t> ⚠</t>
    </r>
  </si>
  <si>
    <t>−1.629 ± 0.389</t>
  </si>
  <si>
    <t>−0.515</t>
  </si>
  <si>
    <t>−0.436 ± 0.644</t>
  </si>
  <si>
    <t>#28</t>
  </si>
  <si>
    <t>bondpp+vix 정규, no-liq cond (학습 깨짐)</t>
  </si>
  <si>
    <t>⚠ 정규 bondpp 버전 학습 미실시</t>
  </si>
  <si>
    <t>−1.656 ⚠</t>
  </si>
  <si>
    <t>−2.191 ★</t>
  </si>
  <si>
    <t>−1.734 ★</t>
  </si>
  <si>
    <t>bondpp 정규 — best. cond 2ch 가정</t>
  </si>
  <si>
    <t>−1.818 ⚠</t>
  </si>
  <si>
    <t>#</t>
  </si>
  <si>
    <t>model</t>
  </si>
  <si>
    <t>sp NLL full median</t>
  </si>
  <si>
    <t>-1.8624 ± 0.263</t>
  </si>
  <si>
    <t>+0.1147 ± 0.947</t>
  </si>
  <si>
    <t>tbill_wr (1ch × 104w)</t>
  </si>
  <si>
    <t>-1.4065 ± 0.562</t>
  </si>
  <si>
    <t>+2.3055 ± 2.500</t>
  </si>
  <si>
    <t>tbill_wr, excess_liq_wr, bondpp_3m (3ch × 104w)</t>
  </si>
  <si>
    <t>-1.3892 ± 0.763</t>
  </si>
  <si>
    <t>-0.2278 ± 1.932</t>
  </si>
  <si>
    <t>⚠ raw bondpp 결과만 있음. 정규 bondpp 학습 미실시 — 새 학습 필요</t>
  </si>
  <si>
    <t>past: tbill_wr, excess_liq_wr (2ch × 52w) / future: tbill_wr (1ch × 52w)</t>
  </si>
  <si>
    <t>excess_liq_wr (1ch × past 52w)</t>
  </si>
  <si>
    <t>excess_liq_wr (1ch × future 52w)</t>
  </si>
  <si>
    <t>sp_return target 없음 → sp NLL 평가 불가</t>
  </si>
  <si>
    <t>vix_wr (1ch × past 52w)</t>
  </si>
  <si>
    <t>vix_wr (1ch × future 52w)</t>
  </si>
  <si>
    <t>sp_return target 없음 → sp NLL 평가 불가. 정규 vix 로 학습됨 (ckpt 별도 존재)</t>
  </si>
  <si>
    <t>past: tbill_wr, excess_liq_w (2ch × 52w) / future: tbill_wr, excess_liq_w (generated by stage1) (3ch × 52w)</t>
  </si>
  <si>
    <t>-1.4332 ± 0.741</t>
  </si>
  <si>
    <t>-0.2985 ± 0.865</t>
  </si>
  <si>
    <t>past: tbill_wr, excess_liq_w (3ch) / future: tbill_wr (2ch × 52w)</t>
  </si>
  <si>
    <t>-1.7438 ± 0.381</t>
  </si>
  <si>
    <t>+0.6128 ± 1.088</t>
  </si>
  <si>
    <t>MTL(2 채널, liq)</t>
  </si>
  <si>
    <t>past: tbill_wr (2ch × 52w) / future: tbill_wr (1ch × 52w)</t>
  </si>
  <si>
    <t>excess_liq_wr (1ch × past), sp_return (1ch × past 52w)</t>
  </si>
  <si>
    <t>excess_liq_wr (1ch × future), sp_return (1ch × future 52w)</t>
  </si>
  <si>
    <t>-1.9651 ± 0.195</t>
  </si>
  <si>
    <t>-0.6106 ± 0.835</t>
  </si>
  <si>
    <t>MTL(2 채널, vix)</t>
  </si>
  <si>
    <t>vix_wr (1ch × past), sp_return (1ch × past 52w)</t>
  </si>
  <si>
    <t>vix_wr (1ch × future), sp_return (1ch × future 52w)</t>
  </si>
  <si>
    <t>-1.9170 ± 0.158</t>
  </si>
  <si>
    <t>-0.9200 ± 0.357</t>
  </si>
  <si>
    <t>MTL(2 채널, bondpp_3m)</t>
  </si>
  <si>
    <t>past: tbill_wr, excess_liq_w (2ch × 52w) / future: tbill_wr (1ch × 52w)</t>
  </si>
  <si>
    <t>sp_return (1ch × past 52w), bondpp_3m (1ch × past 52w)</t>
  </si>
  <si>
    <t>sp_return (1ch × future 52w), bondpp_3m (1ch × future 52w)</t>
  </si>
  <si>
    <t>-1.9445 ± 0.206</t>
  </si>
  <si>
    <t>-1.2595 ± 0.325</t>
  </si>
  <si>
    <t>stockpp_3m (1ch × past), sp_return (1ch × past 52w)</t>
  </si>
  <si>
    <t>stockpp_3m (1ch × future), sp_return (1ch × future 52w)</t>
  </si>
  <si>
    <t>-1.8872 ± 0.504</t>
  </si>
  <si>
    <t>-0.9685 ± 0.542</t>
  </si>
  <si>
    <t>sp_return, bondpp_3m, vix_wr (1ch × past 52w each)</t>
  </si>
  <si>
    <t>sp_return, bondpp_3m, vix_wr (1ch × future 52w each)</t>
  </si>
  <si>
    <t>-1.6469 ± 0.436</t>
  </si>
  <si>
    <t>-0.2352 ± 1.425</t>
  </si>
  <si>
    <t>⚠ bondpp+vix 동시 정규 — 학습 깨짐 (분산 폭증)</t>
  </si>
  <si>
    <t>sp_return, bondpp_3m, stockpp_3m (1ch × past 52w each)</t>
  </si>
  <si>
    <t>sp_return, bondpp_3m, stockpp_3m (1ch × future 52w each)</t>
  </si>
  <si>
    <t>-2.1368 ± 0.108</t>
  </si>
  <si>
    <t>-1.4756 ± 0.312</t>
  </si>
  <si>
    <t>bondpp+stockpp 정규 (이미지 표 target 컬럼의 vix_wr 표기는 stockpp_3m 의 typo 로 추정)</t>
  </si>
  <si>
    <t>MTL(3 채널, liq, bondpp_3m) [bold]</t>
  </si>
  <si>
    <t>past: tbill_wr (1ch × 52w) / future: tbill_wr (1ch × 52w)  ※ cond 2ch 가능성 (표기 검증 필요)</t>
  </si>
  <si>
    <t>excess_liq_wr, sp_return, bondpp_3m (1ch × past 52w each)</t>
  </si>
  <si>
    <t>excess_liq_wr, sp_return, bondpp_3m (1ch × future 52w each)</t>
  </si>
  <si>
    <t>-2.1870 ± 0.084</t>
  </si>
  <si>
    <t>-1.6142 ± 0.297</t>
  </si>
  <si>
    <t>★ best (mtl_bp3_normbp). bondpp 정규. 가설: cond 가 실제 2ch (tbill+excess_liq) — 코드 default 일치</t>
  </si>
  <si>
    <t>MTL(3 채널, liq, vix) [bold]</t>
  </si>
  <si>
    <t>excess_liq_wr, sp_return, vix_wr (1ch × past 52w each)</t>
  </si>
  <si>
    <t>excess_liq_wr, sp_return, vix_wr (1ch × future 52w each)</t>
  </si>
  <si>
    <t>-1.9164 ± 0.384</t>
  </si>
  <si>
    <t>-0.8250 ± 0.752</t>
  </si>
  <si>
    <t>vix 정규 (mtl3_normvix). 분산 큰 편 (std 0.38)</t>
  </si>
  <si>
    <t>MTL(3 채널, liq, bondpp_3m)</t>
  </si>
  <si>
    <t>past: tbill_wr (1ch × 52w) / future: tbill_wr (1ch × 52w)  ※ no-liq cond 1ch 가정</t>
  </si>
  <si>
    <t>-1.9977 ± 0.175</t>
  </si>
  <si>
    <t>-1.1074 ± 0.439</t>
  </si>
  <si>
    <t>행 14 와 표기 동일 — 가설: 14=cond 2ch (with liq), 16=cond 1ch (no-liq) ablation. 사용자 확인 필요</t>
  </si>
  <si>
    <t>MTL(3 채널, bondpp_3m, vix) [bold]</t>
  </si>
  <si>
    <t>past: tbill_wr (1ch × 52w) / future: tbill_wr (1ch × 52w)  ※ no-liq cond 1ch</t>
  </si>
  <si>
    <t>vix_wr, sp_return, bondpp_3m (1ch × past 52w each)</t>
  </si>
  <si>
    <t>vix_wr, sp_return, bondpp_3m (1ch × future 52w each)</t>
  </si>
  <si>
    <t>-1.6285 ± 0.389</t>
  </si>
  <si>
    <t>-0.4356 ± 0.644</t>
  </si>
  <si>
    <t>⚠ bondpp+vix 동시 정규 + no-liq cond — 학습 깨짐 (분산 0.39)</t>
  </si>
  <si>
    <t>IN cond(past 52w)</t>
    <phoneticPr fontId="1" type="noConversion"/>
  </si>
  <si>
    <t>IN cond(future 52w)</t>
    <phoneticPr fontId="1" type="noConversion"/>
  </si>
  <si>
    <t>IN past target(52w)</t>
    <phoneticPr fontId="1" type="noConversion"/>
  </si>
  <si>
    <t>OUT future target(52w)</t>
    <phoneticPr fontId="1" type="noConversion"/>
  </si>
  <si>
    <t>tbill</t>
    <phoneticPr fontId="1" type="noConversion"/>
  </si>
  <si>
    <t>base bondpp</t>
    <phoneticPr fontId="1" type="noConversion"/>
  </si>
  <si>
    <t>mtl bondpp</t>
    <phoneticPr fontId="1" type="noConversion"/>
  </si>
  <si>
    <t>base</t>
    <phoneticPr fontId="1" type="noConversion"/>
  </si>
  <si>
    <t>base stockpp</t>
    <phoneticPr fontId="1" type="noConversion"/>
  </si>
  <si>
    <t>base bondpp stockpp</t>
    <phoneticPr fontId="1" type="noConversion"/>
  </si>
  <si>
    <t>mtl stockpp</t>
    <phoneticPr fontId="1" type="noConversion"/>
  </si>
  <si>
    <t>mtl bondpp stockpp</t>
    <phoneticPr fontId="1" type="noConversion"/>
  </si>
  <si>
    <t>tbill,m2,gdp,cpi</t>
  </si>
  <si>
    <t>tbill,m2,gdp,cpi,bondpp</t>
  </si>
  <si>
    <t>tbill,m2,gdp,cpi,stockpp</t>
  </si>
  <si>
    <t xml:space="preserve">tbill,m2,gdp,cpi,bondpp, stockpp </t>
  </si>
  <si>
    <t>tbill,m2,gdp,cpi,, bondpp, stockpp</t>
  </si>
  <si>
    <t>tbill,m2,gdp,cpi,bondsum</t>
    <phoneticPr fontId="1" type="noConversion"/>
  </si>
  <si>
    <t>tbill,m2,gdp,cpi,stocksum</t>
    <phoneticPr fontId="1" type="noConversion"/>
  </si>
  <si>
    <t>excess_liq mtl(base with pp)</t>
    <phoneticPr fontId="1" type="noConversion"/>
  </si>
  <si>
    <t>excess_liq mtl(base)</t>
    <phoneticPr fontId="1" type="noConversion"/>
  </si>
  <si>
    <t>spvol</t>
  </si>
  <si>
    <t>spvol, bondpp</t>
  </si>
  <si>
    <t>spvol, stockpp</t>
  </si>
  <si>
    <t>spvol, bondpp stockpp</t>
  </si>
  <si>
    <t xml:space="preserve">spvol, excess_liq </t>
    <phoneticPr fontId="1" type="noConversion"/>
  </si>
  <si>
    <t>tbill,m2,gdp,cpi,excess_liq</t>
    <phoneticPr fontId="1" type="noConversion"/>
  </si>
  <si>
    <t>base excess_liq</t>
    <phoneticPr fontId="1" type="noConversion"/>
  </si>
  <si>
    <t>PAPER TABLE 3M ? 12 variants × seeds (median ± std on test set)</t>
  </si>
  <si>
    <t xml:space="preserve">  # label                                kind    cv  n      Pearson(med ± std)           R²(med ± std)        Spear(med ± std)  best_ep_med</t>
  </si>
  <si>
    <t xml:space="preserve">  1 base                                 scalar   1  5   +0.431 ± 0.237          -0.071 ± 0.207       +0.241 ± 0.139             13.0</t>
  </si>
  <si>
    <t xml:space="preserve">  2 base + excess_liq (cond)             scalar  13  5   +0.495 ± 0.118          +0.246 ± 0.116       +0.353 ± 0.096              7.0</t>
  </si>
  <si>
    <t xml:space="preserve">  3 base bondpp                          scalar   2  5   +0.527 ± 0.559          +0.139 ± 0.357       +0.328 ± 0.467             13.0</t>
  </si>
  <si>
    <t xml:space="preserve">  4 base bondsum                         scalar  10  5   -0.145 ± 0.564          -0.273 ± 0.888       -0.242 ± 0.472             13.0</t>
  </si>
  <si>
    <t xml:space="preserve">  5 base stockpp                         scalar   3  5   +0.374 ± 0.478          -0.350 ± 0.458       +0.227 ± 0.382             10.0</t>
  </si>
  <si>
    <t xml:space="preserve">  6 base stocksum                        scalar  11  5   +0.292 ± 0.421          -0.438 ± 0.584       +0.154 ± 0.353             10.0</t>
  </si>
  <si>
    <t xml:space="preserve">  7 base bondpp stockpp                  scalar   4  5   +0.076 ± 0.397          -0.311 ± 0.310       +0.039 ± 0.331             11.0</t>
  </si>
  <si>
    <t xml:space="preserve">  8 mtl bondpp                           mtl      5  5   +0.531 ± 0.520  ★       +0.227 ± 0.459       +0.388 ± 0.432             14.0</t>
  </si>
  <si>
    <t xml:space="preserve">  9 mtl stockpp                          mtl      6  5   +0.481 ± 0.515          +0.075 ± 0.504       +0.316 ± 0.477             11.0</t>
  </si>
  <si>
    <t xml:space="preserve"> 10 mtl bondpp stockpp                   mtl      7  5   +0.454 ± 0.137          +0.102 ± 0.166       +0.246 ± 0.201             16.0</t>
  </si>
  <si>
    <t xml:space="preserve"> 11 excess_liq mtl(base+bp+sp)           mtl      8  5   +0.394 ± 0.177          +0.020 ± 0.201       +0.266 ± 0.124             10.0</t>
  </si>
  <si>
    <t xml:space="preserve"> 12 excess_liq mtl(base)                 mtl      9  5   +0.272 ± 0.228          -0.077 ± 0.258       +0.089 ± 0.194             14.0</t>
  </si>
  <si>
    <t>n_seeds</t>
  </si>
  <si>
    <t>pearson_med</t>
  </si>
  <si>
    <t>pearson_std</t>
  </si>
  <si>
    <t>r2_med</t>
  </si>
  <si>
    <t>r2_std</t>
  </si>
  <si>
    <t>spearman_med</t>
  </si>
  <si>
    <t>spearman_std</t>
  </si>
  <si>
    <t>best_ep_med</t>
  </si>
  <si>
    <t>fold</t>
  </si>
  <si>
    <t>baseline</t>
  </si>
  <si>
    <t>Mamba+Flow</t>
  </si>
  <si>
    <t>우위</t>
  </si>
  <si>
    <t>F_long_A</t>
  </si>
  <si>
    <t>−1.4%</t>
  </si>
  <si>
    <t>F_long_B</t>
  </si>
  <si>
    <t>−8.8%</t>
  </si>
  <si>
    <t>F_long</t>
  </si>
  <si>
    <t>−3.3%</t>
  </si>
  <si>
    <t>평균</t>
  </si>
  <si>
    <t>−4.5%</t>
  </si>
  <si>
    <t>==============================================================================</t>
  </si>
  <si>
    <t xml:space="preserve"> Sweep summary  -  result_dir = /content/drive/MyDrive/Colab Notebooks/homeostatic-market/colab/dual_3ch/result</t>
  </si>
  <si>
    <t xml:space="preserve">   fold filter           = 'all'</t>
  </si>
  <si>
    <t xml:space="preserve">   sort key              = 'val_nll'</t>
  </si>
  <si>
    <t xml:space="preserve">   files matched         = 79</t>
  </si>
  <si>
    <t xml:space="preserve">  fold = F_long  (n = 26)</t>
  </si>
  <si>
    <t xml:space="preserve">tag              fold       d_m   nML  nFL  nFH  wd     dr    ep   val_nll   test_nll   crps      emd       |CVaR1Δ|   cov95 </t>
  </si>
  <si>
    <t>-----------------------------------------------------------------------------------------------------------------------------</t>
  </si>
  <si>
    <t>dm128_nml3_nfl4  F_long      128    3    4   32  0.100  0.10    6   +1.2198    +1.4425   0.01279   0.00325     0.0018   0.913</t>
  </si>
  <si>
    <t>dm128_nml3_nfl4  F_long      128    3    4   64  0.500  0.20    3   +1.2312    +1.4033   0.01272   0.00238     0.0141   0.929</t>
  </si>
  <si>
    <t>dm96_nml2_nfl4_  F_long       96    2    4   64  0.500  0.20   11   +1.2319    +1.4540   0.01272   0.00204     0.0027   0.924</t>
  </si>
  <si>
    <t>dm96_nml2_nfl4_  F_long       96    2    4   32  0.100  0.20   14   +1.2369    +1.5191   0.01269   0.00316     0.0009   0.913</t>
  </si>
  <si>
    <t>dm96_nml2_nfl4_  F_long       96    2    4   64  0.100  0.20   11   +1.2373    +1.4632   0.01279   0.00271     0.0019   0.918</t>
  </si>
  <si>
    <t>dm96_nml2_nfl4_  F_long       96    2    4   64  0.010  0.00    8   +1.2401    +1.4775   0.01275   0.00253     0.0010   0.918</t>
  </si>
  <si>
    <t>dm96_nml2_nfl4_  F_long       96    2    4   32  0.500  0.10   12   +1.2421    +1.5140   0.01276   0.00292     0.0005   0.918</t>
  </si>
  <si>
    <t>dm96_nml2_nfl4_  F_long       96    2    4   64  0.100  0.10   10   +1.2456    +1.4547   0.01281   0.00339     0.0090   0.918</t>
  </si>
  <si>
    <t>dm96_nml2_nfl4_  F_long       96    2    4   64  0.500  0.10    7   +1.2467    +1.4171   0.01277   0.00256     0.0104   0.918</t>
  </si>
  <si>
    <t>dm128_nml3_nfl4  F_long      128    3    4   64  0.500  0.10    2   +1.2485    +1.3964   0.01278   0.00142     0.0083   0.946</t>
  </si>
  <si>
    <t>dm128_nml3_nfl4  F_long      128    3    4   64  0.100  0.20    6   +1.2490    +1.4123   0.01270   0.00208     0.0042   0.924</t>
  </si>
  <si>
    <t>dm96_nml2_nfl4_  F_long       96    2    4   32  0.500  0.20   12   +1.2493    +1.4718   0.01273   0.00305     0.0021   0.913</t>
  </si>
  <si>
    <t>dm128_nml3_nfl4  F_long      128    3    4   32  0.050  0.00    6   +1.2534    +1.4238   0.01279   0.00272     0.0022   0.918</t>
  </si>
  <si>
    <t>dm128_nml3_nfl4  F_long      128    3    4   64  0.010  0.00    2   +1.2574    +1.4006   0.01277   0.00207     0.0033   0.924</t>
  </si>
  <si>
    <t>dm128_nml3_nfl4  F_long      128    3    4   64  0.100  0.10    3   +1.2592    +1.3917   0.01275   0.00206     0.0243   0.944</t>
  </si>
  <si>
    <t>dm128_nml3_nfl4  F_long      128    3    4   32  0.500  0.10    6   +1.2638    +1.3843   0.01275   0.00297     0.0063   0.913</t>
  </si>
  <si>
    <t>dm96_nml2_nfl4_  F_long       96    2    4   32  0.050  0.00   12   +1.2640    +1.4794   0.01268   0.00260     0.0059   0.907</t>
  </si>
  <si>
    <t>dm96_nml2_nfl4_  F_long       96    2    4   64  0.050  0.00    6   +1.2649    +1.4516   0.01267   0.00261     0.0032   0.918</t>
  </si>
  <si>
    <t>dm96_nml2_nfl4_  F_long       96    2    4   32  0.100  0.10    9   +1.2650    +1.4536   0.01268   0.00196     0.0084   0.935</t>
  </si>
  <si>
    <t xml:space="preserve">dm128_nml3_nfl4  F_long      128    3    4   32  0.100  0.20    6   +1.2673      --        --        --         --        --   </t>
  </si>
  <si>
    <t>(none)           F_long      128    3    6   64     --        --       3   +1.2686    +1.4086   0.01276   0.00230     0.0289   0.940</t>
  </si>
  <si>
    <t>dm128_nml3_nfl4  F_long      128    3    4   64  0.050  0.00    2   +1.2721    +1.4382   0.01302   0.00516     0.0213   0.939</t>
  </si>
  <si>
    <t>dm128_nml3_nfl4  F_long      128    3    4   32  0.500  0.20   11   +1.2730    +1.4535   0.01276   0.00193     0.0033   0.935</t>
  </si>
  <si>
    <t>dm96_nml2_nfl4_  F_long       96    2    4   32  0.010  0.00   12   +1.2784    +1.5289   0.01267   0.00296     0.0055   0.913</t>
  </si>
  <si>
    <t>small            F_long       96    2    4   32     --        --       8   +1.2879    +1.4515   0.01266   0.00237     0.0000   0.918</t>
  </si>
  <si>
    <t>dm128_nml3_nfl4  F_long      128    3    4   32  0.010  0.00    7   +1.3021    +1.5118   0.01277   0.00259     0.0098   0.935</t>
  </si>
  <si>
    <t xml:space="preserve">  fold = F_long_A  (n = 27)</t>
  </si>
  <si>
    <t>dm128_nml3_nfl4  F_long_A    128    3    4   64  0.100  0.10    2   +1.6436    +1.1607   0.00928   0.00615     0.0465   0.989</t>
  </si>
  <si>
    <t>dm128_nml3_nfl4  F_long_A    128    3    4   64  0.050  0.00    3   +1.6514    +1.1997   0.00967   0.00759     0.0450   0.989</t>
  </si>
  <si>
    <t>dm128_nml3_nfl4  F_long_A    128    3    4   64  0.500  0.10    2   +1.6538    +1.1903   0.00931   0.00622     0.0383   0.989</t>
  </si>
  <si>
    <t>dm128_nml3_nfl4  F_long_A    128    3    4   64  0.500  0.20    2   +1.6612    +1.1990   0.00925   0.00564     0.0444   0.989</t>
  </si>
  <si>
    <t>dm128_nml3_nfl4  F_long_A    128    3    4   64  0.100  0.20    3   +1.6724    +1.1622   0.00914   0.00457     0.0283   0.981</t>
  </si>
  <si>
    <t>dm128_nml3_nfl4  F_long_A    128    3    4   64  0.010  0.00    5   +1.6832    +1.2169   0.00947   0.00662     0.0449   0.984</t>
  </si>
  <si>
    <t>dm128_nml3_nfl4  F_long_A    128    3    4   32  0.500  0.20    4   +1.6944    +1.1727   0.00912   0.00485     0.0224   0.995</t>
  </si>
  <si>
    <t>(none)           F_long_A    128    3    6   64     --        --       3   +1.6988    +1.1817   0.00967   0.00686     0.0465   0.991</t>
  </si>
  <si>
    <t>dm128_nml3_nfl4  F_long_A    128    3    4   32  0.100  0.20    5   +1.7088    +1.2020   0.00941   0.00596     0.0167   0.992</t>
  </si>
  <si>
    <t>dm96_nml2_nfl4_  F_long_A     96    2    4   32  0.100  0.20    7   +1.7089    +1.1572   0.00909   0.00420     0.0196   0.986</t>
  </si>
  <si>
    <t>dm96_nml2_nfl4_  F_long_A     96    2    4   32  0.500  0.20    7   +1.7115    +1.1406   0.00901   0.00358     0.0192   0.986</t>
  </si>
  <si>
    <t>dm96_nml2_nfl4_  F_long_A     96    2    4   64  0.100  0.10    5   +1.7131    +1.1777   0.00911   0.00477     0.0262   0.995</t>
  </si>
  <si>
    <t>dm96_nml2_nfl4_  F_long_A     96    2    4   64  0.500  0.20    5   +1.7138    +1.1955   0.00920   0.00588     0.0356   0.995</t>
  </si>
  <si>
    <t>dm96_nml2_nfl4_  F_long_A     96    2    4   64  0.100  0.20    5   +1.7140    +1.1843   0.00915   0.00527     0.0309   0.995</t>
  </si>
  <si>
    <t>dm128_nml3_nfl4  F_long_A    128    3    4   32  0.010  0.00    5   +1.7148    +1.1787   0.00918   0.00556     0.0261   0.995</t>
  </si>
  <si>
    <t>dm96_nml2_nfl4_  F_long_A     96    2    4   64  0.500  0.10    5   +1.7164    +1.2189   0.00924   0.00573     0.0284   0.995</t>
  </si>
  <si>
    <t>dm96_nml2_nfl4_  F_long_A     96    2    4   32  0.010  0.00    5   +1.7197    +1.1522   0.00899   0.00312     0.0238   0.981</t>
  </si>
  <si>
    <t>dm128_nml3_nfl4  F_long_A    128    3    4   32  0.500  0.10    4   +1.7293    +1.2410   0.00948   0.00764     0.0364   0.995</t>
  </si>
  <si>
    <t>dm128_nml3_nfl4  F_long_A    128    3    4   32  0.100  0.10    4   +1.7308    +1.1992   0.00937   0.00689     0.0329   0.995</t>
  </si>
  <si>
    <t>dm96_nml2_nfl4_  F_long_A     96    2    4   32  0.500  0.10    6   +1.7322    +1.1627   0.00910   0.00383     0.0204   0.977</t>
  </si>
  <si>
    <t xml:space="preserve">wd0.01_dr0.0     F_long_A     96    2    4   32  0.010  0.00    5   +1.7389      --        --        --         --        --   </t>
  </si>
  <si>
    <t>small            F_long_A     96    2    4   32     --        --       5   +1.7396    +1.1586   0.00904   0.00345     0.0212   0.981</t>
  </si>
  <si>
    <t>dm96_nml2_nfl4_  F_long_A     96    2    4   32  0.100  0.10    6   +1.7418    +1.1737   0.00899   0.00317     0.0179   0.986</t>
  </si>
  <si>
    <t>dm96_nml2_nfl4_  F_long_A     96    2    4   32  0.050  0.00    5   +1.7479    +1.1532   0.00895   0.00251     0.0167   0.980</t>
  </si>
  <si>
    <t>dm128_nml3_nfl4  F_long_A    128    3    4   32  0.050  0.00    5   +1.7664    +1.2638   0.00911   0.00425     0.0247   0.992</t>
  </si>
  <si>
    <t>dm96_nml2_nfl4_  F_long_A     96    2    4   64  0.010  0.00    6   +1.7763    +1.2295   0.00932   0.00550     0.0316   0.989</t>
  </si>
  <si>
    <t>dm96_nml2_nfl4_  F_long_A     96    2    4   64  0.050  0.00    3   +1.7797    +1.1853   0.00909   0.00434     0.0325   0.995</t>
  </si>
  <si>
    <t xml:space="preserve">  fold = F_long_B  (n = 26)</t>
  </si>
  <si>
    <t>dm96_nml2_nfl4_  F_long_B     96    2    4   64  0.100  0.20    5   +1.3365    +1.0680   0.00920   0.00224     0.0101   0.962</t>
  </si>
  <si>
    <t xml:space="preserve">dm96_nml2_nfl4_  F_long_B     96    2    4   64  0.500  0.20    5   +1.3419      --        --        --         --        --   </t>
  </si>
  <si>
    <t>dm128_nml3_nfl4  F_long_B    128    3    4   32  0.050  0.00    4   +1.3419    +1.1103   0.00930   0.00331     0.0011   0.956</t>
  </si>
  <si>
    <t>dm96_nml2_nfl4_  F_long_B     96    2    4   64  0.050  0.00    5   +1.3444    +1.0824   0.00923   0.00255     0.0050   0.962</t>
  </si>
  <si>
    <t>dm128_nml3_nfl4  F_long_B    128    3    4   32  0.500  0.20    8   +1.3473    +1.0892   0.00927   0.00277     0.0027   0.945</t>
  </si>
  <si>
    <t>dm128_nml3_nfl4  F_long_B    128    3    4   64  0.100  0.10    3   +1.3485    +1.1586   0.00938   0.00338     0.0166   0.956</t>
  </si>
  <si>
    <t>dm96_nml2_nfl4_  F_long_B     96    2    4   64  0.500  0.10    5   +1.3508    +1.1041   0.00932   0.00344     0.0137   0.967</t>
  </si>
  <si>
    <t>dm128_nml3_nfl4  F_long_B    128    3    4   64  0.500  0.20    4   +1.3519    +1.1370   0.00935   0.00323     0.0038   0.934</t>
  </si>
  <si>
    <t>dm128_nml3_nfl4  F_long_B    128    3    4   32  0.100  0.20    6   +1.3562    +1.1124   0.00933   0.00320     0.0035   0.951</t>
  </si>
  <si>
    <t>dm128_nml3_nfl4  F_long_B    128    3    4   32  0.010  0.00    4   +1.3565    +1.1356   0.00931   0.00329     0.0059   0.962</t>
  </si>
  <si>
    <t>dm128_nml3_nfl4  F_long_B    128    3    4   32  0.500  0.10    4   +1.3567    +1.1026   0.00932   0.00323     0.0030   0.956</t>
  </si>
  <si>
    <t>dm96_nml2_nfl4_  F_long_B     96    2    4   64  0.010  0.00    5   +1.3612    +1.0948   0.00927   0.00293     0.0112   0.967</t>
  </si>
  <si>
    <t>(none)           F_long_B    128    3    6   64     --        --       3   +1.3639    +1.1358   0.00926   0.00327     0.0198   0.945</t>
  </si>
  <si>
    <t>dm96_nml2_nfl4_  F_long_B     96    2    4   64  0.100  0.10    6   +1.3648    +1.0797   0.00924   0.00227     0.0043   0.956</t>
  </si>
  <si>
    <t>dm128_nml3_nfl4  F_long_B    128    3    4   32  0.100  0.10    4   +1.3658    +1.1057   0.00936   0.00377     0.0065   0.962</t>
  </si>
  <si>
    <t>dm128_nml3_nfl4  F_long_B    128    3    4   64  0.500  0.10    2   +1.3692    +1.1587   0.00931   0.00324     0.0111   0.951</t>
  </si>
  <si>
    <t>dm128_nml3_nfl4  F_long_B    128    3    4   64  0.100  0.20    4   +1.3707    +1.1407   0.00948   0.00387     0.0094   0.962</t>
  </si>
  <si>
    <t>dm96_nml2_nfl4_  F_long_B     96    2    4   32  0.500  0.10    5   +1.3771    +1.1253   0.00935   0.00358     0.0029   0.956</t>
  </si>
  <si>
    <t>dm96_nml2_nfl4_  F_long_B     96    2    4   32  0.100  0.10    5   +1.3808    +1.1141   0.00925   0.00282     0.0038   0.945</t>
  </si>
  <si>
    <t>dm128_nml3_nfl4  F_long_B    128    3    4   64  0.050  0.00    3   +1.3813    +1.1547   0.00943   0.00355     0.0038   0.945</t>
  </si>
  <si>
    <t>dm128_nml3_nfl4  F_long_B    128    3    4   64  0.010  0.00    3   +1.3861    +1.1731   0.00969   0.00541     0.0143   0.956</t>
  </si>
  <si>
    <t>dm96_nml2_nfl4_  F_long_B     96    2    4   32  0.100  0.20    5   +1.3864    +1.1075   0.00927   0.00330     0.0040   0.940</t>
  </si>
  <si>
    <t>dm96_nml2_nfl4_  F_long_B     96    2    4   32  0.500  0.20    5   +1.4003    +1.1389   0.00934   0.00368     0.0044   0.956</t>
  </si>
  <si>
    <t>dm96_nml2_nfl4_  F_long_B     96    2    4   32  0.050  0.00    5   +1.4202    +1.1508   0.00932   0.00384     0.0007   0.940</t>
  </si>
  <si>
    <t>dm96_nml2_nfl4_  F_long_B     96    2    4   32  0.010  0.00    5   +1.4211    +1.1278   0.00923   0.00298     0.0035   0.940</t>
  </si>
  <si>
    <t>small            F_long_B     96    2    4   32     --        --       5   +1.4226    +1.1513   0.00941   0.00419     0.0004   0.951</t>
  </si>
  <si>
    <t xml:space="preserve">  [spec selection key = val_nll only -- test_nll / CRPS / cov95 below are reporting numbers, NOT used for selection]</t>
  </si>
  <si>
    <t xml:space="preserve">  best val_nll @ F_long_A: tag='dm128_nml3_nfl4_nfh64_wd0.1_dr0.1'  d_m=128, nML=3, nFL=4, nFH=64, wd=0.1, dr=0.1  -&gt; val_nll = +1.6436  [report: test_nll = +1.1607, cov95 = 0.989, |CVaR1Δ| = 0.0465]</t>
  </si>
  <si>
    <t xml:space="preserve">  best val_nll @ F_long_B: tag='dm96_nml2_nfl4_nfh64_wd0.1_dr0.2'  d_m=96, nML=2, nFL=4, nFH=64, wd=0.1, dr=0.2  -&gt; val_nll = +1.3365  [report: test_nll = +1.0680, cov95 = 0.962, |CVaR1Δ| = 0.0101]</t>
  </si>
  <si>
    <t xml:space="preserve">  best val_nll @ F_long  : tag='dm128_nml3_nfl4_nfh32_wd0.1_dr0.1'  d_m=128, nML=3, nFL=4, nFH=32, wd=0.1, dr=0.1  -&gt; val_nll = +1.2198  [report: test_nll = +1.4425, cov95 = 0.913, |CVaR1Δ| = 0.0018]</t>
  </si>
  <si>
    <t>Ablation Summary Scan</t>
  </si>
  <si>
    <t>Metric: test_nll (z)</t>
  </si>
  <si>
    <t>var</t>
  </si>
  <si>
    <t>F_long_B_origin</t>
  </si>
  <si>
    <t>Mean</t>
  </si>
  <si>
    <t>±Std</t>
  </si>
  <si>
    <t>none</t>
  </si>
  <si>
    <t>bondpp</t>
  </si>
  <si>
    <t>stockpp</t>
  </si>
  <si>
    <t>metab</t>
  </si>
  <si>
    <t>mamba</t>
  </si>
  <si>
    <t>Metric: CRPS</t>
  </si>
  <si>
    <t>Metric: EMD</t>
  </si>
  <si>
    <t>Metric: |CVaR1Δ|</t>
  </si>
  <si>
    <t>Metric: cov95</t>
  </si>
  <si>
    <t>Hyperparameter Sweep Grid (24 unique spec × 3 fold = 72 run)</t>
  </si>
  <si>
    <t>Hyperparameter</t>
  </si>
  <si>
    <t>Search space</t>
  </si>
  <si>
    <t>Note</t>
  </si>
  <si>
    <t>(d_model, n_mamba_layers)</t>
  </si>
  <si>
    <t>{(96, 2), (128, 3)}</t>
  </si>
  <si>
    <t>linked pair</t>
  </si>
  <si>
    <t>n_flow_layers</t>
  </si>
  <si>
    <t>4</t>
  </si>
  <si>
    <t>fixed</t>
  </si>
  <si>
    <t>n_flow_hidden</t>
  </si>
  <si>
    <t>{32, 64}</t>
  </si>
  <si>
    <t>weight_decay</t>
  </si>
  <si>
    <t>{0.01, 0.05, 0.1, 0.5}</t>
  </si>
  <si>
    <t>dropout</t>
  </si>
  <si>
    <t>{0.0, 0.1, 0.2}</t>
  </si>
  <si>
    <t>Total unique spec</t>
  </si>
  <si>
    <t>24</t>
  </si>
  <si>
    <t>Selection key</t>
  </si>
  <si>
    <t>val NLL only</t>
  </si>
  <si>
    <r>
      <rPr>
        <sz val="10"/>
        <rFont val="Arial"/>
        <family val="2"/>
      </rPr>
      <t xml:space="preserve">test data </t>
    </r>
    <r>
      <rPr>
        <sz val="10"/>
        <rFont val="DejaVu Sans"/>
        <family val="2"/>
      </rPr>
      <t xml:space="preserve">사용 </t>
    </r>
    <r>
      <rPr>
        <sz val="10"/>
        <rFont val="Arial"/>
        <family val="2"/>
      </rPr>
      <t xml:space="preserve">X (leakage </t>
    </r>
    <r>
      <rPr>
        <sz val="10"/>
        <rFont val="DejaVu Sans"/>
        <family val="2"/>
      </rPr>
      <t>회피</t>
    </r>
    <r>
      <rPr>
        <sz val="10"/>
        <rFont val="Arial"/>
        <family val="2"/>
      </rPr>
      <t>)</t>
    </r>
  </si>
  <si>
    <r>
      <rPr>
        <b/>
        <sz val="14"/>
        <color rgb="FF1F4E78"/>
        <rFont val="Arial"/>
        <family val="2"/>
      </rPr>
      <t xml:space="preserve">2-Phase </t>
    </r>
    <r>
      <rPr>
        <b/>
        <sz val="14"/>
        <color rgb="FF1F4E78"/>
        <rFont val="DejaVu Sans"/>
        <family val="2"/>
      </rPr>
      <t>구조</t>
    </r>
  </si>
  <si>
    <t>Phase</t>
  </si>
  <si>
    <t>구성</t>
  </si>
  <si>
    <r>
      <rPr>
        <b/>
        <sz val="11"/>
        <color rgb="FFFFFFFF"/>
        <rFont val="Arial"/>
        <family val="2"/>
      </rPr>
      <t xml:space="preserve">spec </t>
    </r>
    <r>
      <rPr>
        <b/>
        <sz val="11"/>
        <color rgb="FFFFFFFF"/>
        <rFont val="DejaVu Sans"/>
        <family val="2"/>
      </rPr>
      <t>수</t>
    </r>
  </si>
  <si>
    <t>Phase 1 (regularization grid)</t>
  </si>
  <si>
    <r>
      <rPr>
        <sz val="10"/>
        <rFont val="Arial"/>
        <family val="2"/>
      </rPr>
      <t xml:space="preserve">wd ∈ {0.1, 0.5} × dr ∈ {0.1, 0.2}, (d_model,nml) × n_flow_hidden </t>
    </r>
    <r>
      <rPr>
        <sz val="10"/>
        <rFont val="DejaVu Sans"/>
        <family val="2"/>
      </rPr>
      <t>포함</t>
    </r>
  </si>
  <si>
    <t>16</t>
  </si>
  <si>
    <t>Phase 2 (low-reg patch)</t>
  </si>
  <si>
    <r>
      <rPr>
        <sz val="10"/>
        <rFont val="Arial"/>
        <family val="2"/>
      </rPr>
      <t xml:space="preserve">wd ∈ {0.01, 0.05} × dr = 0.0 — 1st sweep wd lower bound </t>
    </r>
    <r>
      <rPr>
        <sz val="10"/>
        <rFont val="DejaVu Sans"/>
        <family val="2"/>
      </rPr>
      <t>누락 영역</t>
    </r>
    <r>
      <rPr>
        <sz val="10"/>
        <rFont val="Arial"/>
        <family val="2"/>
      </rPr>
      <t>(</t>
    </r>
    <r>
      <rPr>
        <sz val="10"/>
        <rFont val="DejaVu Sans"/>
        <family val="2"/>
      </rPr>
      <t xml:space="preserve">옛 </t>
    </r>
    <r>
      <rPr>
        <sz val="10"/>
        <rFont val="Arial"/>
        <family val="2"/>
      </rPr>
      <t>best wd=0.01, dr=0)</t>
    </r>
    <r>
      <rPr>
        <sz val="10"/>
        <rFont val="DejaVu Sans"/>
        <family val="2"/>
      </rPr>
      <t xml:space="preserve">을 </t>
    </r>
    <r>
      <rPr>
        <sz val="10"/>
        <rFont val="Arial"/>
        <family val="2"/>
      </rPr>
      <t xml:space="preserve">patch grid </t>
    </r>
    <r>
      <rPr>
        <sz val="10"/>
        <rFont val="DejaVu Sans"/>
        <family val="2"/>
      </rPr>
      <t>로 보완</t>
    </r>
  </si>
  <si>
    <t>8</t>
  </si>
  <si>
    <t>합계</t>
  </si>
  <si>
    <t>Phase 1 + Phase 2</t>
  </si>
  <si>
    <t>Best val_nll per fold (selection key only)</t>
  </si>
  <si>
    <r>
      <rPr>
        <i/>
        <sz val="10"/>
        <color rgb="FF606060"/>
        <rFont val="Arial"/>
        <family val="2"/>
      </rPr>
      <t xml:space="preserve">※ test_nll / CRPS / cov95 / |CVaR1Δ| </t>
    </r>
    <r>
      <rPr>
        <i/>
        <sz val="10"/>
        <color rgb="FF606060"/>
        <rFont val="DejaVu Sans"/>
        <family val="2"/>
      </rPr>
      <t xml:space="preserve">는 </t>
    </r>
    <r>
      <rPr>
        <i/>
        <sz val="10"/>
        <color rgb="FF606060"/>
        <rFont val="Arial"/>
        <family val="2"/>
      </rPr>
      <t xml:space="preserve">reporting numbers — selection </t>
    </r>
    <r>
      <rPr>
        <i/>
        <sz val="10"/>
        <color rgb="FF606060"/>
        <rFont val="DejaVu Sans"/>
        <family val="2"/>
      </rPr>
      <t xml:space="preserve">에는 사용 </t>
    </r>
    <r>
      <rPr>
        <i/>
        <sz val="10"/>
        <color rgb="FF606060"/>
        <rFont val="Arial"/>
        <family val="2"/>
      </rPr>
      <t>X</t>
    </r>
  </si>
  <si>
    <t>tag</t>
  </si>
  <si>
    <t>d_m</t>
  </si>
  <si>
    <t>nML</t>
  </si>
  <si>
    <t>nFL</t>
  </si>
  <si>
    <t>nFH</t>
  </si>
  <si>
    <t>wd</t>
  </si>
  <si>
    <t>dr</t>
  </si>
  <si>
    <t>val_nll</t>
  </si>
  <si>
    <t>report (test_nll / cov95 / |CVaR1Δ|)</t>
  </si>
  <si>
    <t>dm128_nml3_nfl4_nfh64_wd0.1_dr0.1</t>
  </si>
  <si>
    <t>0.1</t>
  </si>
  <si>
    <t>+1.6436</t>
  </si>
  <si>
    <t>test=+1.1607, cov95=0.989, |CVaR1Δ|=0.0465</t>
  </si>
  <si>
    <t>dm96_nml2_nfl4_nfh64_wd0.1_dr0.2</t>
  </si>
  <si>
    <t>0.2</t>
  </si>
  <si>
    <t>+1.3365</t>
  </si>
  <si>
    <t>test=+1.0680, cov95=0.962, |CVaR1Δ|=0.0101</t>
  </si>
  <si>
    <t>dm128_nml3_nfl4_nfh32_wd0.1_dr0.1</t>
  </si>
  <si>
    <t>+1.2198</t>
  </si>
  <si>
    <t>test=+1.4425, cov95=0.913, |CVaR1Δ|=0.0018</t>
  </si>
  <si>
    <r>
      <rPr>
        <b/>
        <sz val="10"/>
        <rFont val="DejaVu Sans"/>
        <family val="2"/>
      </rPr>
      <t xml:space="preserve">왜 </t>
    </r>
    <r>
      <rPr>
        <b/>
        <sz val="10"/>
        <rFont val="Arial"/>
        <family val="2"/>
      </rPr>
      <t>fold</t>
    </r>
    <r>
      <rPr>
        <b/>
        <sz val="10"/>
        <rFont val="DejaVu Sans"/>
        <family val="2"/>
      </rPr>
      <t xml:space="preserve">별 </t>
    </r>
    <r>
      <rPr>
        <b/>
        <sz val="10"/>
        <rFont val="Arial"/>
        <family val="2"/>
      </rPr>
      <t>best</t>
    </r>
    <r>
      <rPr>
        <b/>
        <sz val="10"/>
        <rFont val="DejaVu Sans"/>
        <family val="2"/>
      </rPr>
      <t xml:space="preserve">와 최종 선택 </t>
    </r>
    <r>
      <rPr>
        <b/>
        <sz val="10"/>
        <rFont val="Arial"/>
        <family val="2"/>
      </rPr>
      <t>spec</t>
    </r>
    <r>
      <rPr>
        <b/>
        <sz val="10"/>
        <rFont val="DejaVu Sans"/>
        <family val="2"/>
      </rPr>
      <t>이 다른가</t>
    </r>
    <r>
      <rPr>
        <b/>
        <sz val="10"/>
        <rFont val="Arial"/>
        <family val="2"/>
      </rPr>
      <t>?</t>
    </r>
  </si>
  <si>
    <r>
      <rPr>
        <sz val="10"/>
        <rFont val="Arial"/>
        <family val="2"/>
      </rPr>
      <t xml:space="preserve">  • Selection </t>
    </r>
    <r>
      <rPr>
        <sz val="10"/>
        <rFont val="DejaVu Sans"/>
        <family val="2"/>
      </rPr>
      <t>기준</t>
    </r>
    <r>
      <rPr>
        <sz val="10"/>
        <rFont val="Arial"/>
        <family val="2"/>
      </rPr>
      <t xml:space="preserve">: 3-fold </t>
    </r>
    <r>
      <rPr>
        <sz val="10"/>
        <rFont val="DejaVu Sans"/>
        <family val="2"/>
      </rPr>
      <t xml:space="preserve">평균 </t>
    </r>
    <r>
      <rPr>
        <sz val="10"/>
        <rFont val="Arial"/>
        <family val="2"/>
      </rPr>
      <t>val_nll argmin</t>
    </r>
  </si>
  <si>
    <r>
      <rPr>
        <sz val="10"/>
        <rFont val="DejaVu Sans"/>
        <family val="2"/>
      </rPr>
      <t xml:space="preserve">  • 최종 선택</t>
    </r>
    <r>
      <rPr>
        <sz val="10"/>
        <rFont val="Arial"/>
        <family val="2"/>
      </rPr>
      <t>: d_m=128, nML=3, nFL=4, nFH=64, wd=0.5, dr=0.2  (avg val_nll = 1.4148)</t>
    </r>
  </si>
  <si>
    <r>
      <rPr>
        <sz val="10"/>
        <rFont val="Arial"/>
        <family val="2"/>
      </rPr>
      <t xml:space="preserve">  • Per-fold best</t>
    </r>
    <r>
      <rPr>
        <sz val="10"/>
        <rFont val="DejaVu Sans"/>
        <family val="2"/>
      </rPr>
      <t xml:space="preserve">는 단일 </t>
    </r>
    <r>
      <rPr>
        <sz val="10"/>
        <rFont val="Arial"/>
        <family val="2"/>
      </rPr>
      <t>fold</t>
    </r>
    <r>
      <rPr>
        <sz val="10"/>
        <rFont val="DejaVu Sans"/>
        <family val="2"/>
      </rPr>
      <t xml:space="preserve">에 과적합될 위험이 있어 </t>
    </r>
    <r>
      <rPr>
        <sz val="10"/>
        <rFont val="Arial"/>
        <family val="2"/>
      </rPr>
      <t xml:space="preserve">reproducibility </t>
    </r>
    <r>
      <rPr>
        <sz val="10"/>
        <rFont val="DejaVu Sans"/>
        <family val="2"/>
      </rPr>
      <t>측면에서 채택하지 않음</t>
    </r>
  </si>
  <si>
    <t>rank  spec                                            avg val_nll  | per-fold</t>
  </si>
  <si>
    <t>--------------------------------------------------------------------------------------------------------------</t>
  </si>
  <si>
    <t xml:space="preserve">   1  dm128_nml3_nfl4_nfh64_wd0.5_dr0.1                   +1.3764  | A=+1.6538 | origin=+1.2270 | long=+1.2485</t>
  </si>
  <si>
    <t xml:space="preserve">   2  dm128_nml3_nfl4_nfh64_wd0.5_dr0.2                   +1.3828  | A=+1.6612 | origin=+1.2560 | long=+1.2312</t>
  </si>
  <si>
    <t xml:space="preserve">   3  dm128_nml3_nfl4_nfh64_wd0.1_dr0.1                   +1.3835  | A=+1.6436 | origin=+1.2477 | long=+1.2592</t>
  </si>
  <si>
    <t xml:space="preserve">   4  dm128_nml3_nfl4_nfh64_wd0.1_dr0.2                   +1.3873  | A=+1.6724 | origin=+1.2407 | long=+1.2490</t>
  </si>
  <si>
    <t xml:space="preserve">   5  dm128_nml3_nfl4_nfh64_wd0.05_dr0.0                  +1.3898  | A=+1.6514 | origin=+1.2459 | long=+1.2721</t>
  </si>
  <si>
    <t xml:space="preserve">   6  dm96_nml2_nfl4_nfh64_wd0.1_dr0.2                    +1.3927  | A=+1.7140 | origin=+1.2267 | long=+1.2373</t>
  </si>
  <si>
    <t xml:space="preserve">   7  dm128_nml3_nfl4_nfh32_wd0.1_dr0.1                   +1.3952  | A=+1.7308 | origin=+1.2350 | long=+1.2198</t>
  </si>
  <si>
    <t xml:space="preserve">   8  dm96_nml2_nfl4_nfh64_wd0.5_dr0.2                    +1.3970  | A=+1.7138 | origin=+1.2454 | long=+1.2319</t>
  </si>
  <si>
    <t xml:space="preserve">   9  dm96_nml2_nfl4_nfh64_wd0.1_dr0.1                    +1.3988  | A=+1.7131 | origin=+1.2376 | long=+1.2456</t>
  </si>
  <si>
    <t xml:space="preserve">  10  dm128_nml3_nfl4_nfh32_wd0.5_dr0.2                   +1.3990  | A=+1.6944 | origin=+1.2297 | long=+1.2730</t>
  </si>
  <si>
    <r>
      <t xml:space="preserve">======== 3-fold avg val_nll </t>
    </r>
    <r>
      <rPr>
        <sz val="8"/>
        <rFont val="돋움"/>
        <family val="3"/>
        <charset val="129"/>
      </rPr>
      <t>재선택</t>
    </r>
    <r>
      <rPr>
        <sz val="8"/>
        <rFont val="Courier New"/>
        <family val="3"/>
      </rPr>
      <t xml:space="preserve"> =========</t>
    </r>
    <phoneticPr fontId="1" type="noConversion"/>
  </si>
  <si>
    <t>encoder</t>
  </si>
  <si>
    <t>LSTM</t>
  </si>
  <si>
    <t>MLP</t>
  </si>
  <si>
    <t>Transformer</t>
  </si>
  <si>
    <t>sweep 차원</t>
  </si>
  <si>
    <t>조합 수</t>
  </si>
  <si>
    <t>hidden_dim ∈ {64, 128} × num_layers ∈ {2, 3} × dropout ∈ {0.1}</t>
  </si>
  <si>
    <t>hidden_dim ∈ {128, 256} × num_layers ∈ {3, 4} × dropout ∈ {0.1, 0.2}</t>
  </si>
  <si>
    <t>(d_model, n_heads) ∈ {(64, 4), (128, 8)} (paired) × num_layers ∈ {2, 3} × dropout ∈ {0.1, 0.2}</t>
  </si>
  <si>
    <t>LSTM: hd128_nl2_dr0.1</t>
  </si>
  <si>
    <t>MLP: hd128_nl4_dr0.2</t>
  </si>
  <si>
    <t>Transformer: dm64_nh4_nl2_dr0.2</t>
  </si>
  <si>
    <t>/content/drive/MyDrive/Colab Notebooks/homeostatic-market</t>
  </si>
  <si>
    <t>found 60 Phase 1 sweep files</t>
  </si>
  <si>
    <t>enc          spec                                                  avg val  | per-fold</t>
  </si>
  <si>
    <t>----------------------------------------------------------------------------------------------------</t>
  </si>
  <si>
    <t>--- lstm ---</t>
  </si>
  <si>
    <t>lstm         sweep_lstm_hd128_nl2_dr0.1                            +1.3504  | A=+1.6354 | origin=+1.1570 | long=+1.2589</t>
  </si>
  <si>
    <t>lstm         sweep_lstm_hd64_nl2_dr0.1                             +1.3609  | A=+1.6329 | origin=+1.1856 | long=+1.2641</t>
  </si>
  <si>
    <t>lstm         sweep_lstm_hd64_nl3_dr0.1                             +1.3697  | A=+1.6446 | origin=+1.1811 | long=+1.2832</t>
  </si>
  <si>
    <t>lstm         sweep_lstm_hd128_nl3_dr0.1                            +1.3868  | A=+1.6511 | origin=+1.1934 | long=+1.3159</t>
  </si>
  <si>
    <t>--- mlp ---</t>
  </si>
  <si>
    <t>mlp          sweep_mlp_hd128_nl4_dr0.2                             +1.3588  | A=+1.6183 | origin=+1.1995 | long=+1.2586</t>
  </si>
  <si>
    <t>mlp          sweep_mlp_hd128_nl4_dr0.1                             +1.3695  | A=+1.6290 | origin=+1.2236 | long=+1.2559</t>
  </si>
  <si>
    <t>mlp          sweep_mlp_hd128_nl3_dr0.2                             +1.3699  | A=+1.6259 | origin=+1.2089 | long=+1.2750</t>
  </si>
  <si>
    <t>mlp          sweep_mlp_hd256_nl3_dr0.2                             +1.3938  | A=+1.6851 | origin=+1.2321 | long=+1.2643</t>
  </si>
  <si>
    <t>mlp          sweep_mlp_hd256_nl3_dr0.1                             +1.3945  | A=+1.6833 | origin=+1.2108 | long=+1.2895</t>
  </si>
  <si>
    <t>mlp          sweep_mlp_hd256_nl4_dr0.2                             +1.4029  | A=+1.7478 | origin=+1.2024 | long=+1.2583</t>
  </si>
  <si>
    <t>mlp          sweep_mlp_hd128_nl3_dr0.1                             +1.4040  | A=+1.7107 | origin=+1.2433 | long=+1.2581</t>
  </si>
  <si>
    <t>mlp          sweep_mlp_hd256_nl4_dr0.1                             +1.4060  | A=+1.7543 | origin=+1.1955 | long=+1.2682</t>
  </si>
  <si>
    <t>--- transformer ---</t>
  </si>
  <si>
    <t>transformer  sweep_transformer_dm64_nh4_nl2_dr0.2                  +1.3995  | A=+1.6966 | origin=+1.2115 | long=+1.2904</t>
  </si>
  <si>
    <t>transformer  sweep_transformer_dm128_nh8_nl2_dr0.2                 +1.4012  | A=+1.7131 | origin=+1.2217 | long=+1.2687</t>
  </si>
  <si>
    <t>transformer  sweep_transformer_dm64_nh4_nl3_dr0.2                  +1.4044  | A=+1.6986 | origin=+1.2193 | long=+1.2952</t>
  </si>
  <si>
    <t>transformer  sweep_transformer_dm64_nh4_nl2_dr0.1                  +1.4266  | A=+1.7597 | origin=+1.2291 | long=+1.2911</t>
  </si>
  <si>
    <t>transformer  sweep_transformer_dm64_nh4_nl3_dr0.1                  +1.4315  | A=+1.7208 | origin=+1.2456 | long=+1.3282</t>
  </si>
  <si>
    <t>transformer  sweep_transformer_dm128_nh8_nl2_dr0.1                 +1.4354  | A=+1.7635 | origin=+1.2325 | long=+1.3104</t>
  </si>
  <si>
    <t>transformer  sweep_transformer_dm128_nh8_nl3_dr0.2                 +1.4480  | A=+1.7897 | origin=+1.2606 | long=+1.2937</t>
  </si>
  <si>
    <t>transformer  sweep_transformer_dm128_nh8_nl3_dr0.1                 +1.4534  | A=+1.7735 | origin=+1.2700 | long=+1.3167</t>
  </si>
  <si>
    <t>답하는 질문</t>
  </si>
  <si>
    <t>CH6</t>
  </si>
  <si>
    <t>baseline (화폐 없음)</t>
  </si>
  <si>
    <t>CH7</t>
  </si>
  <si>
    <t>metab (embed)</t>
  </si>
  <si>
    <t>압축 단일의 효과</t>
  </si>
  <si>
    <t>CH6+DC</t>
  </si>
  <si>
    <t>metab (Flow head DC)</t>
  </si>
  <si>
    <t>주입 위치(DC)</t>
  </si>
  <si>
    <t>CH7+both</t>
  </si>
  <si>
    <t>위치 결합</t>
  </si>
  <si>
    <t>상세</t>
    <phoneticPr fontId="1" type="noConversion"/>
  </si>
  <si>
    <t>embedding</t>
    <phoneticPr fontId="1" type="noConversion"/>
  </si>
  <si>
    <t>mamba</t>
    <phoneticPr fontId="1" type="noConversion"/>
  </si>
  <si>
    <t>lstm</t>
    <phoneticPr fontId="1" type="noConversion"/>
  </si>
  <si>
    <t>transformer</t>
    <phoneticPr fontId="1" type="noConversion"/>
  </si>
  <si>
    <t>mlp</t>
    <phoneticPr fontId="1" type="noConversion"/>
  </si>
  <si>
    <t>임배딩모델</t>
    <phoneticPr fontId="1" type="noConversion"/>
  </si>
  <si>
    <t>bondpp (embed)</t>
    <phoneticPr fontId="1" type="noConversion"/>
  </si>
  <si>
    <t>stockpp (embed)</t>
    <phoneticPr fontId="1" type="noConversion"/>
  </si>
  <si>
    <t>metab (embed + DC)</t>
    <phoneticPr fontId="1" type="noConversion"/>
  </si>
  <si>
    <t>CH9</t>
    <phoneticPr fontId="1" type="noConversion"/>
  </si>
  <si>
    <t>m2+indpro+cpi</t>
    <phoneticPr fontId="1" type="noConversion"/>
  </si>
  <si>
    <t>metab이 아닌 개별변수입력</t>
    <phoneticPr fontId="1" type="noConversion"/>
  </si>
  <si>
    <t>bondpp</t>
    <phoneticPr fontId="1" type="noConversion"/>
  </si>
  <si>
    <t>stockpp</t>
    <phoneticPr fontId="1" type="noConversion"/>
  </si>
  <si>
    <t>GARCH</t>
    <phoneticPr fontId="1" type="noConversion"/>
  </si>
  <si>
    <t>------------------------------------------------------------------------------------------------------</t>
  </si>
  <si>
    <t>pure   F_long_A            182    246  +1.1348  0.00246  0.00902  0.844  0.971  -0.00223  1.151      -</t>
  </si>
  <si>
    <t>pure   F_long_B_origin     182    246  +1.8713  0.00403  0.01374  0.839  0.949  +0.01812  0.948      -</t>
  </si>
  <si>
    <t>pure   F_long              182    246  +1.4279  0.00200  0.01266  0.818  0.940  +0.00007  1.036      -</t>
  </si>
  <si>
    <t>pure_t F_long_A            182    246     None  0.00178  0.00896  0.839  0.966  -0.00306  1.141    9.8</t>
  </si>
  <si>
    <t>pure_t F_long_B_origin     182    246     None  0.00369  0.01368  0.823  0.949  +0.01871  0.931    8.9</t>
  </si>
  <si>
    <t>pure_t F_long              182    246     None  0.00182  0.01264  0.807  0.940  -0.00048  1.023    9.1</t>
  </si>
  <si>
    <r>
      <t>spec   fold             n_orig n_test      NLL      EMD     CRPS  cov80  cov95    CVaR5</t>
    </r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맑은 고딕"/>
        <family val="2"/>
        <charset val="129"/>
        <scheme val="minor"/>
      </rPr>
      <t xml:space="preserve">  std_r     nu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</si>
</sst>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 "/>
    <numFmt numFmtId="177" formatCode="\+0.0000;\-0.0000;0.0000"/>
    <numFmt numFmtId="178" formatCode="0.000"/>
    <numFmt numFmtId="179" formatCode="0.00000"/>
  </numFmts>
  <fonts count="3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8"/>
      <color rgb="FFCCCCCC"/>
      <name val="Segoe UI"/>
      <family val="2"/>
    </font>
    <font>
      <sz val="8"/>
      <color rgb="FFCCCCCC"/>
      <name val="Segoe UI"/>
      <family val="2"/>
    </font>
    <font>
      <sz val="11"/>
      <name val="Courier New"/>
      <family val="3"/>
    </font>
    <font>
      <sz val="9.9"/>
      <color rgb="FFD7BA7D"/>
      <name val="Courier New"/>
      <family val="3"/>
    </font>
    <font>
      <sz val="8"/>
      <name val="Segoe UI"/>
      <family val="2"/>
    </font>
    <font>
      <sz val="8"/>
      <name val="돋움"/>
      <family val="3"/>
      <charset val="129"/>
    </font>
    <font>
      <sz val="9.9"/>
      <name val="Courier New"/>
      <family val="3"/>
    </font>
    <font>
      <sz val="11"/>
      <name val="맑은 고딕"/>
      <family val="2"/>
      <charset val="129"/>
      <scheme val="minor"/>
    </font>
    <font>
      <sz val="9.9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name val="Courier New"/>
      <family val="3"/>
    </font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DejaVu Sans"/>
      <family val="2"/>
    </font>
    <font>
      <b/>
      <sz val="14"/>
      <color rgb="FF1F4E78"/>
      <name val="DejaVu Sans"/>
      <family val="2"/>
    </font>
    <font>
      <b/>
      <sz val="11"/>
      <color rgb="FFFFFFFF"/>
      <name val="DejaVu Sans"/>
      <family val="2"/>
    </font>
    <font>
      <b/>
      <sz val="10"/>
      <name val="DejaVu Sans"/>
      <family val="2"/>
    </font>
    <font>
      <i/>
      <sz val="10"/>
      <color rgb="FF606060"/>
      <name val="Arial"/>
      <family val="2"/>
    </font>
    <font>
      <i/>
      <sz val="10"/>
      <color rgb="FF606060"/>
      <name val="DejaVu Sans"/>
      <family val="2"/>
    </font>
    <font>
      <sz val="8"/>
      <name val="Courier New"/>
      <family val="3"/>
    </font>
    <font>
      <sz val="8"/>
      <color rgb="FFE3E3E3"/>
      <name val="Courier New"/>
      <family val="3"/>
    </font>
    <font>
      <sz val="11"/>
      <name val="Segoe UI"/>
      <family val="2"/>
    </font>
    <font>
      <sz val="11"/>
      <color theme="1"/>
      <name val="Calibri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383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05496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theme="3" tint="0.24994659260841701"/>
        <bgColor indexed="64"/>
      </patternFill>
    </fill>
    <fill>
      <patternFill patternType="solid">
        <fgColor rgb="FF305496"/>
        <bgColor rgb="FF1F4E78"/>
      </patternFill>
    </fill>
    <fill>
      <patternFill patternType="solid">
        <fgColor rgb="FF1F4E78"/>
        <bgColor rgb="FF30549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C6E0B4"/>
        <bgColor rgb="FFE2EFDA"/>
      </patternFill>
    </fill>
    <fill>
      <patternFill patternType="solid">
        <fgColor rgb="FFFCE4D6"/>
        <bgColor rgb="FFFFF2CC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8" fillId="0" borderId="0"/>
  </cellStyleXfs>
  <cellXfs count="9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3" borderId="0" xfId="0" applyFont="1" applyFill="1">
      <alignment vertical="center"/>
    </xf>
    <xf numFmtId="0" fontId="10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6" fillId="9" borderId="0" xfId="0" applyFont="1" applyFill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176" fontId="0" fillId="6" borderId="3" xfId="0" applyNumberForma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6" fillId="3" borderId="2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right" vertical="center" wrapText="1"/>
    </xf>
    <xf numFmtId="0" fontId="17" fillId="0" borderId="0" xfId="0" applyFont="1">
      <alignment vertical="center"/>
    </xf>
    <xf numFmtId="0" fontId="18" fillId="0" borderId="0" xfId="1"/>
    <xf numFmtId="0" fontId="21" fillId="11" borderId="6" xfId="1" applyFont="1" applyFill="1" applyBorder="1" applyAlignment="1">
      <alignment horizontal="center" vertical="center"/>
    </xf>
    <xf numFmtId="0" fontId="18" fillId="12" borderId="6" xfId="1" applyFill="1" applyBorder="1"/>
    <xf numFmtId="0" fontId="22" fillId="12" borderId="6" xfId="1" applyFont="1" applyFill="1" applyBorder="1" applyAlignment="1">
      <alignment horizontal="center" vertical="center"/>
    </xf>
    <xf numFmtId="0" fontId="23" fillId="13" borderId="6" xfId="1" applyFont="1" applyFill="1" applyBorder="1" applyAlignment="1">
      <alignment horizontal="left" vertical="center"/>
    </xf>
    <xf numFmtId="177" fontId="23" fillId="13" borderId="6" xfId="1" applyNumberFormat="1" applyFont="1" applyFill="1" applyBorder="1" applyAlignment="1">
      <alignment horizontal="center" vertical="center"/>
    </xf>
    <xf numFmtId="178" fontId="23" fillId="13" borderId="6" xfId="1" applyNumberFormat="1" applyFont="1" applyFill="1" applyBorder="1" applyAlignment="1">
      <alignment horizontal="center" vertical="center"/>
    </xf>
    <xf numFmtId="0" fontId="23" fillId="14" borderId="6" xfId="1" applyFont="1" applyFill="1" applyBorder="1" applyAlignment="1">
      <alignment horizontal="left" vertical="center"/>
    </xf>
    <xf numFmtId="177" fontId="23" fillId="14" borderId="6" xfId="1" applyNumberFormat="1" applyFont="1" applyFill="1" applyBorder="1" applyAlignment="1">
      <alignment horizontal="center" vertical="center"/>
    </xf>
    <xf numFmtId="178" fontId="23" fillId="14" borderId="6" xfId="1" applyNumberFormat="1" applyFont="1" applyFill="1" applyBorder="1" applyAlignment="1">
      <alignment horizontal="center" vertical="center"/>
    </xf>
    <xf numFmtId="179" fontId="23" fillId="13" borderId="6" xfId="1" applyNumberFormat="1" applyFont="1" applyFill="1" applyBorder="1" applyAlignment="1">
      <alignment horizontal="center" vertical="center"/>
    </xf>
    <xf numFmtId="179" fontId="23" fillId="14" borderId="6" xfId="1" applyNumberFormat="1" applyFont="1" applyFill="1" applyBorder="1" applyAlignment="1">
      <alignment horizontal="center" vertical="center"/>
    </xf>
    <xf numFmtId="0" fontId="21" fillId="11" borderId="6" xfId="1" applyFont="1" applyFill="1" applyBorder="1" applyAlignment="1">
      <alignment horizontal="center" vertical="center" wrapText="1"/>
    </xf>
    <xf numFmtId="0" fontId="24" fillId="0" borderId="6" xfId="1" applyFont="1" applyBorder="1" applyAlignment="1">
      <alignment horizontal="left" vertical="center" wrapText="1"/>
    </xf>
    <xf numFmtId="0" fontId="23" fillId="0" borderId="6" xfId="1" applyFont="1" applyBorder="1" applyAlignment="1">
      <alignment horizontal="center" vertical="center" wrapText="1"/>
    </xf>
    <xf numFmtId="0" fontId="23" fillId="0" borderId="6" xfId="1" applyFont="1" applyBorder="1" applyAlignment="1">
      <alignment horizontal="left" vertical="center" wrapText="1"/>
    </xf>
    <xf numFmtId="0" fontId="24" fillId="12" borderId="6" xfId="1" applyFont="1" applyFill="1" applyBorder="1" applyAlignment="1">
      <alignment horizontal="left" vertical="center" wrapText="1"/>
    </xf>
    <xf numFmtId="0" fontId="24" fillId="12" borderId="6" xfId="1" applyFont="1" applyFill="1" applyBorder="1" applyAlignment="1">
      <alignment horizontal="center" vertical="center" wrapText="1"/>
    </xf>
    <xf numFmtId="0" fontId="21" fillId="10" borderId="6" xfId="1" applyFont="1" applyFill="1" applyBorder="1" applyAlignment="1">
      <alignment horizontal="center" vertical="center" wrapText="1"/>
    </xf>
    <xf numFmtId="0" fontId="27" fillId="10" borderId="6" xfId="1" applyFont="1" applyFill="1" applyBorder="1" applyAlignment="1">
      <alignment horizontal="center" vertical="center" wrapText="1"/>
    </xf>
    <xf numFmtId="0" fontId="28" fillId="15" borderId="6" xfId="1" applyFont="1" applyFill="1" applyBorder="1" applyAlignment="1">
      <alignment horizontal="left" vertical="center" wrapText="1"/>
    </xf>
    <xf numFmtId="0" fontId="23" fillId="15" borderId="6" xfId="1" applyFont="1" applyFill="1" applyBorder="1" applyAlignment="1">
      <alignment horizontal="left" vertical="center" wrapText="1"/>
    </xf>
    <xf numFmtId="0" fontId="0" fillId="0" borderId="0" xfId="0" applyAlignment="1"/>
    <xf numFmtId="0" fontId="21" fillId="11" borderId="6" xfId="0" applyFont="1" applyFill="1" applyBorder="1" applyAlignment="1">
      <alignment horizontal="center" vertical="center"/>
    </xf>
    <xf numFmtId="0" fontId="24" fillId="16" borderId="6" xfId="0" applyFont="1" applyFill="1" applyBorder="1" applyAlignment="1">
      <alignment horizontal="left" vertical="center"/>
    </xf>
    <xf numFmtId="0" fontId="24" fillId="16" borderId="6" xfId="0" applyFont="1" applyFill="1" applyBorder="1" applyAlignment="1">
      <alignment horizontal="center" vertical="center"/>
    </xf>
    <xf numFmtId="0" fontId="31" fillId="0" borderId="0" xfId="0" quotePrefix="1" applyFont="1">
      <alignment vertical="center"/>
    </xf>
    <xf numFmtId="0" fontId="32" fillId="0" borderId="0" xfId="0" applyFont="1">
      <alignment vertical="center"/>
    </xf>
    <xf numFmtId="0" fontId="7" fillId="0" borderId="0" xfId="0" applyFont="1" applyAlignment="1">
      <alignment horizontal="left" vertical="center" wrapText="1" indent="1"/>
    </xf>
    <xf numFmtId="0" fontId="33" fillId="0" borderId="0" xfId="0" applyFont="1">
      <alignment vertical="center"/>
    </xf>
    <xf numFmtId="0" fontId="31" fillId="0" borderId="0" xfId="0" applyFont="1">
      <alignment vertical="center"/>
    </xf>
    <xf numFmtId="0" fontId="10" fillId="0" borderId="0" xfId="0" applyFont="1" applyAlignment="1">
      <alignment horizontal="left" vertical="center" wrapText="1" inden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19" fillId="0" borderId="0" xfId="1" applyFont="1" applyAlignment="1">
      <alignment horizontal="left" vertical="center"/>
    </xf>
    <xf numFmtId="0" fontId="20" fillId="10" borderId="0" xfId="1" applyFont="1" applyFill="1" applyAlignment="1">
      <alignment horizontal="left" vertical="center"/>
    </xf>
    <xf numFmtId="0" fontId="21" fillId="11" borderId="6" xfId="1" applyFont="1" applyFill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9" fillId="0" borderId="0" xfId="1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29" fillId="0" borderId="0" xfId="0" applyFont="1" applyAlignment="1"/>
    <xf numFmtId="0" fontId="28" fillId="0" borderId="0" xfId="0" applyFont="1" applyAlignment="1">
      <alignment horizontal="left" vertical="center"/>
    </xf>
  </cellXfs>
  <cellStyles count="2">
    <cellStyle name="표준" xfId="0" builtinId="0"/>
    <cellStyle name="표준 2" xfId="1" xr:uid="{3DB2ECF4-24C6-4775-AFBA-8758E512A1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B70BC-B086-45CE-987F-A5DFB165ECA1}">
  <dimension ref="A1:A9"/>
  <sheetViews>
    <sheetView tabSelected="1" workbookViewId="0">
      <selection activeCell="J15" sqref="J15"/>
    </sheetView>
  </sheetViews>
  <sheetFormatPr defaultRowHeight="17.399999999999999"/>
  <sheetData>
    <row r="1" spans="1:1">
      <c r="A1" s="73" t="s">
        <v>603</v>
      </c>
    </row>
    <row r="2" spans="1:1">
      <c r="A2" t="s">
        <v>611</v>
      </c>
    </row>
    <row r="3" spans="1:1">
      <c r="A3" t="s">
        <v>604</v>
      </c>
    </row>
    <row r="4" spans="1:1">
      <c r="A4" t="s">
        <v>605</v>
      </c>
    </row>
    <row r="5" spans="1:1">
      <c r="A5" t="s">
        <v>606</v>
      </c>
    </row>
    <row r="6" spans="1:1">
      <c r="A6" t="s">
        <v>607</v>
      </c>
    </row>
    <row r="7" spans="1:1">
      <c r="A7" t="s">
        <v>608</v>
      </c>
    </row>
    <row r="8" spans="1:1">
      <c r="A8" t="s">
        <v>609</v>
      </c>
    </row>
    <row r="9" spans="1:1">
      <c r="A9" t="s">
        <v>610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2726-1934-4454-B16D-79516BEF8B15}">
  <dimension ref="A1:D11"/>
  <sheetViews>
    <sheetView workbookViewId="0">
      <selection activeCell="D21" sqref="D21"/>
    </sheetView>
  </sheetViews>
  <sheetFormatPr defaultRowHeight="17.399999999999999"/>
  <cols>
    <col min="1" max="1" width="10.3984375" customWidth="1"/>
    <col min="2" max="2" width="20.19921875" customWidth="1"/>
    <col min="3" max="3" width="13.59765625" customWidth="1"/>
    <col min="4" max="4" width="27.59765625" customWidth="1"/>
  </cols>
  <sheetData>
    <row r="1" spans="1:4">
      <c r="A1" s="75" t="s">
        <v>489</v>
      </c>
      <c r="B1" s="76" t="s">
        <v>588</v>
      </c>
      <c r="C1" s="76" t="s">
        <v>589</v>
      </c>
      <c r="D1" s="77" t="s">
        <v>577</v>
      </c>
    </row>
    <row r="2" spans="1:4">
      <c r="A2" s="78" t="s">
        <v>578</v>
      </c>
      <c r="B2" s="79" t="s">
        <v>303</v>
      </c>
      <c r="C2" s="79" t="s">
        <v>590</v>
      </c>
      <c r="D2" s="80" t="s">
        <v>579</v>
      </c>
    </row>
    <row r="3" spans="1:4">
      <c r="A3" s="81" t="s">
        <v>578</v>
      </c>
      <c r="B3" s="82" t="s">
        <v>303</v>
      </c>
      <c r="C3" s="82" t="s">
        <v>591</v>
      </c>
      <c r="D3" s="83" t="s">
        <v>594</v>
      </c>
    </row>
    <row r="4" spans="1:4">
      <c r="A4" s="81" t="s">
        <v>578</v>
      </c>
      <c r="B4" s="82" t="s">
        <v>303</v>
      </c>
      <c r="C4" s="82" t="s">
        <v>592</v>
      </c>
      <c r="D4" s="83" t="s">
        <v>594</v>
      </c>
    </row>
    <row r="5" spans="1:4">
      <c r="A5" s="81" t="s">
        <v>578</v>
      </c>
      <c r="B5" s="82" t="s">
        <v>303</v>
      </c>
      <c r="C5" s="82" t="s">
        <v>593</v>
      </c>
      <c r="D5" s="83" t="s">
        <v>594</v>
      </c>
    </row>
    <row r="6" spans="1:4">
      <c r="A6" s="81" t="s">
        <v>580</v>
      </c>
      <c r="B6" s="82" t="s">
        <v>581</v>
      </c>
      <c r="C6" s="82" t="s">
        <v>590</v>
      </c>
      <c r="D6" s="83" t="s">
        <v>582</v>
      </c>
    </row>
    <row r="7" spans="1:4">
      <c r="A7" s="81" t="s">
        <v>598</v>
      </c>
      <c r="B7" s="82" t="s">
        <v>599</v>
      </c>
      <c r="C7" s="82" t="s">
        <v>590</v>
      </c>
      <c r="D7" s="83" t="s">
        <v>600</v>
      </c>
    </row>
    <row r="8" spans="1:4">
      <c r="A8" s="81" t="s">
        <v>583</v>
      </c>
      <c r="B8" s="82" t="s">
        <v>584</v>
      </c>
      <c r="C8" s="82" t="s">
        <v>590</v>
      </c>
      <c r="D8" s="83" t="s">
        <v>585</v>
      </c>
    </row>
    <row r="9" spans="1:4">
      <c r="A9" s="81" t="s">
        <v>586</v>
      </c>
      <c r="B9" s="82" t="s">
        <v>597</v>
      </c>
      <c r="C9" s="82" t="s">
        <v>590</v>
      </c>
      <c r="D9" s="83" t="s">
        <v>587</v>
      </c>
    </row>
    <row r="10" spans="1:4">
      <c r="A10" s="81" t="s">
        <v>580</v>
      </c>
      <c r="B10" s="82" t="s">
        <v>595</v>
      </c>
      <c r="C10" s="82" t="s">
        <v>590</v>
      </c>
      <c r="D10" s="83" t="s">
        <v>601</v>
      </c>
    </row>
    <row r="11" spans="1:4">
      <c r="A11" s="81" t="s">
        <v>580</v>
      </c>
      <c r="B11" s="82" t="s">
        <v>596</v>
      </c>
      <c r="C11" s="82" t="s">
        <v>590</v>
      </c>
      <c r="D11" s="83" t="s">
        <v>602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A406F-E1D7-48C1-B63C-C64CBC8A876F}">
  <dimension ref="A1:H61"/>
  <sheetViews>
    <sheetView zoomScaleNormal="100" workbookViewId="0">
      <pane xSplit="2" ySplit="3" topLeftCell="C30" activePane="bottomRight" state="frozen"/>
      <selection pane="topRight" activeCell="C1" sqref="C1"/>
      <selection pane="bottomLeft" activeCell="A4" sqref="A4"/>
      <selection pane="bottomRight" activeCell="K18" sqref="K18"/>
    </sheetView>
  </sheetViews>
  <sheetFormatPr defaultColWidth="7.796875" defaultRowHeight="14.4"/>
  <cols>
    <col min="1" max="1" width="10.796875" style="43" customWidth="1"/>
    <col min="2" max="2" width="9.8984375" style="43" customWidth="1"/>
    <col min="3" max="3" width="12.59765625" style="43" customWidth="1"/>
    <col min="4" max="4" width="8.09765625" style="43" customWidth="1"/>
    <col min="5" max="5" width="12.59765625" style="43" customWidth="1"/>
    <col min="6" max="6" width="8.09765625" style="43" customWidth="1"/>
    <col min="7" max="7" width="12.59765625" style="43" customWidth="1"/>
    <col min="8" max="8" width="8.09765625" style="43" customWidth="1"/>
    <col min="9" max="16384" width="7.796875" style="43"/>
  </cols>
  <sheetData>
    <row r="1" spans="1:8" ht="17.399999999999999">
      <c r="A1" s="84" t="s">
        <v>451</v>
      </c>
      <c r="B1" s="84"/>
      <c r="C1" s="84"/>
      <c r="D1" s="84"/>
      <c r="E1" s="84"/>
      <c r="F1" s="84"/>
      <c r="G1" s="84"/>
      <c r="H1" s="84"/>
    </row>
    <row r="3" spans="1:8" ht="15.6">
      <c r="A3" s="85" t="s">
        <v>452</v>
      </c>
      <c r="B3" s="85"/>
      <c r="C3" s="85"/>
      <c r="D3" s="85"/>
      <c r="E3" s="85"/>
      <c r="F3" s="85"/>
      <c r="G3" s="85"/>
      <c r="H3" s="85"/>
    </row>
    <row r="4" spans="1:8">
      <c r="A4" s="44" t="s">
        <v>216</v>
      </c>
      <c r="B4" s="44" t="s">
        <v>453</v>
      </c>
      <c r="C4" s="86" t="s">
        <v>350</v>
      </c>
      <c r="D4" s="86"/>
      <c r="E4" s="86" t="s">
        <v>454</v>
      </c>
      <c r="F4" s="86"/>
      <c r="G4" s="86" t="s">
        <v>354</v>
      </c>
      <c r="H4" s="86"/>
    </row>
    <row r="5" spans="1:8">
      <c r="A5" s="45"/>
      <c r="B5" s="45"/>
      <c r="C5" s="46" t="s">
        <v>455</v>
      </c>
      <c r="D5" s="46" t="s">
        <v>456</v>
      </c>
      <c r="E5" s="46" t="s">
        <v>455</v>
      </c>
      <c r="F5" s="46" t="s">
        <v>456</v>
      </c>
      <c r="G5" s="46" t="s">
        <v>455</v>
      </c>
      <c r="H5" s="46" t="s">
        <v>456</v>
      </c>
    </row>
    <row r="6" spans="1:8">
      <c r="A6" s="47" t="s">
        <v>347</v>
      </c>
      <c r="B6" s="47" t="s">
        <v>457</v>
      </c>
      <c r="C6" s="48">
        <v>1.1986000000000001</v>
      </c>
      <c r="D6" s="49"/>
      <c r="E6" s="48">
        <v>1.8341000000000001</v>
      </c>
      <c r="F6" s="49"/>
      <c r="G6" s="48">
        <v>1.456</v>
      </c>
      <c r="H6" s="49"/>
    </row>
    <row r="7" spans="1:8">
      <c r="A7" s="47" t="s">
        <v>347</v>
      </c>
      <c r="B7" s="47" t="s">
        <v>458</v>
      </c>
      <c r="C7" s="48">
        <v>1.1977</v>
      </c>
      <c r="D7" s="49"/>
      <c r="E7" s="48">
        <v>1.7972999999999999</v>
      </c>
      <c r="F7" s="49"/>
      <c r="G7" s="48">
        <v>1.4541999999999999</v>
      </c>
      <c r="H7" s="49"/>
    </row>
    <row r="8" spans="1:8">
      <c r="A8" s="47" t="s">
        <v>347</v>
      </c>
      <c r="B8" s="47" t="s">
        <v>459</v>
      </c>
      <c r="C8" s="48">
        <v>1.2044999999999999</v>
      </c>
      <c r="D8" s="49"/>
      <c r="E8" s="48">
        <v>1.8492</v>
      </c>
      <c r="F8" s="49"/>
      <c r="G8" s="48">
        <v>1.4625999999999999</v>
      </c>
      <c r="H8" s="49"/>
    </row>
    <row r="9" spans="1:8">
      <c r="A9" s="47" t="s">
        <v>347</v>
      </c>
      <c r="B9" s="47" t="s">
        <v>460</v>
      </c>
      <c r="C9" s="48">
        <v>1.1979</v>
      </c>
      <c r="D9" s="49"/>
      <c r="E9" s="48">
        <v>1.7968999999999999</v>
      </c>
      <c r="F9" s="49"/>
      <c r="G9" s="48">
        <v>1.4557</v>
      </c>
      <c r="H9" s="49"/>
    </row>
    <row r="10" spans="1:8">
      <c r="A10" s="50" t="s">
        <v>461</v>
      </c>
      <c r="B10" s="50" t="s">
        <v>457</v>
      </c>
      <c r="C10" s="51">
        <v>1.1812</v>
      </c>
      <c r="D10" s="52">
        <v>3.6999999999999998E-2</v>
      </c>
      <c r="E10" s="51">
        <v>1.3889</v>
      </c>
      <c r="F10" s="52">
        <v>1.7999999999999999E-2</v>
      </c>
      <c r="G10" s="51">
        <v>1.4298999999999999</v>
      </c>
      <c r="H10" s="52">
        <v>8.0000000000000002E-3</v>
      </c>
    </row>
    <row r="11" spans="1:8">
      <c r="A11" s="50" t="s">
        <v>461</v>
      </c>
      <c r="B11" s="50" t="s">
        <v>458</v>
      </c>
      <c r="C11" s="51">
        <v>1.1505000000000001</v>
      </c>
      <c r="D11" s="52">
        <v>1.4E-2</v>
      </c>
      <c r="E11" s="51">
        <v>1.4039999999999999</v>
      </c>
      <c r="F11" s="52">
        <v>5.3999999999999999E-2</v>
      </c>
      <c r="G11" s="51">
        <v>1.4131</v>
      </c>
      <c r="H11" s="52">
        <v>1.6E-2</v>
      </c>
    </row>
    <row r="12" spans="1:8">
      <c r="A12" s="50" t="s">
        <v>461</v>
      </c>
      <c r="B12" s="50" t="s">
        <v>459</v>
      </c>
      <c r="C12" s="51">
        <v>1.1728000000000001</v>
      </c>
      <c r="D12" s="52">
        <v>2.9000000000000001E-2</v>
      </c>
      <c r="E12" s="51">
        <v>1.4097999999999999</v>
      </c>
      <c r="F12" s="52">
        <v>4.8000000000000001E-2</v>
      </c>
      <c r="G12" s="51">
        <v>1.4159999999999999</v>
      </c>
      <c r="H12" s="52">
        <v>2.7E-2</v>
      </c>
    </row>
    <row r="13" spans="1:8">
      <c r="A13" s="50" t="s">
        <v>461</v>
      </c>
      <c r="B13" s="50" t="s">
        <v>460</v>
      </c>
      <c r="C13" s="51">
        <v>1.1673</v>
      </c>
      <c r="D13" s="52">
        <v>3.6999999999999998E-2</v>
      </c>
      <c r="E13" s="51">
        <v>1.3867</v>
      </c>
      <c r="F13" s="52">
        <v>4.1000000000000002E-2</v>
      </c>
      <c r="G13" s="51">
        <v>1.4198</v>
      </c>
      <c r="H13" s="52">
        <v>1.6E-2</v>
      </c>
    </row>
    <row r="15" spans="1:8" ht="15.6">
      <c r="A15" s="85" t="s">
        <v>462</v>
      </c>
      <c r="B15" s="85"/>
      <c r="C15" s="85"/>
      <c r="D15" s="85"/>
      <c r="E15" s="85"/>
      <c r="F15" s="85"/>
      <c r="G15" s="85"/>
      <c r="H15" s="85"/>
    </row>
    <row r="16" spans="1:8">
      <c r="A16" s="44" t="s">
        <v>216</v>
      </c>
      <c r="B16" s="44" t="s">
        <v>453</v>
      </c>
      <c r="C16" s="86" t="s">
        <v>350</v>
      </c>
      <c r="D16" s="86"/>
      <c r="E16" s="86" t="s">
        <v>454</v>
      </c>
      <c r="F16" s="86"/>
      <c r="G16" s="86" t="s">
        <v>354</v>
      </c>
      <c r="H16" s="86"/>
    </row>
    <row r="17" spans="1:8">
      <c r="A17" s="45"/>
      <c r="B17" s="45"/>
      <c r="C17" s="46" t="s">
        <v>455</v>
      </c>
      <c r="D17" s="46" t="s">
        <v>456</v>
      </c>
      <c r="E17" s="46" t="s">
        <v>455</v>
      </c>
      <c r="F17" s="46" t="s">
        <v>456</v>
      </c>
      <c r="G17" s="46" t="s">
        <v>455</v>
      </c>
      <c r="H17" s="46" t="s">
        <v>456</v>
      </c>
    </row>
    <row r="18" spans="1:8">
      <c r="A18" s="47" t="s">
        <v>347</v>
      </c>
      <c r="B18" s="47" t="s">
        <v>457</v>
      </c>
      <c r="C18" s="53">
        <v>9.4800000000000006E-3</v>
      </c>
      <c r="D18" s="49"/>
      <c r="E18" s="53">
        <v>1.5100000000000001E-2</v>
      </c>
      <c r="F18" s="49"/>
      <c r="G18" s="53">
        <v>1.295E-2</v>
      </c>
      <c r="H18" s="49"/>
    </row>
    <row r="19" spans="1:8">
      <c r="A19" s="47" t="s">
        <v>347</v>
      </c>
      <c r="B19" s="47" t="s">
        <v>458</v>
      </c>
      <c r="C19" s="53">
        <v>9.4500000000000001E-3</v>
      </c>
      <c r="D19" s="49"/>
      <c r="E19" s="53">
        <v>1.472E-2</v>
      </c>
      <c r="F19" s="49"/>
      <c r="G19" s="53">
        <v>1.2930000000000001E-2</v>
      </c>
      <c r="H19" s="49"/>
    </row>
    <row r="20" spans="1:8">
      <c r="A20" s="47" t="s">
        <v>347</v>
      </c>
      <c r="B20" s="47" t="s">
        <v>459</v>
      </c>
      <c r="C20" s="53">
        <v>9.5600000000000008E-3</v>
      </c>
      <c r="D20" s="49"/>
      <c r="E20" s="53">
        <v>1.525E-2</v>
      </c>
      <c r="F20" s="49"/>
      <c r="G20" s="53">
        <v>1.303E-2</v>
      </c>
      <c r="H20" s="49"/>
    </row>
    <row r="21" spans="1:8">
      <c r="A21" s="47" t="s">
        <v>347</v>
      </c>
      <c r="B21" s="47" t="s">
        <v>460</v>
      </c>
      <c r="C21" s="53">
        <v>9.4599999999999997E-3</v>
      </c>
      <c r="D21" s="49"/>
      <c r="E21" s="53">
        <v>1.472E-2</v>
      </c>
      <c r="F21" s="49"/>
      <c r="G21" s="53">
        <v>1.295E-2</v>
      </c>
      <c r="H21" s="49"/>
    </row>
    <row r="22" spans="1:8">
      <c r="A22" s="50" t="s">
        <v>461</v>
      </c>
      <c r="B22" s="50" t="s">
        <v>457</v>
      </c>
      <c r="C22" s="54">
        <v>9.1599999999999997E-3</v>
      </c>
      <c r="D22" s="52">
        <v>0</v>
      </c>
      <c r="E22" s="54">
        <v>1.363E-2</v>
      </c>
      <c r="F22" s="52">
        <v>0</v>
      </c>
      <c r="G22" s="54">
        <v>1.2789999999999999E-2</v>
      </c>
      <c r="H22" s="52">
        <v>0</v>
      </c>
    </row>
    <row r="23" spans="1:8">
      <c r="A23" s="50" t="s">
        <v>461</v>
      </c>
      <c r="B23" s="50" t="s">
        <v>458</v>
      </c>
      <c r="C23" s="54">
        <v>9.1000000000000004E-3</v>
      </c>
      <c r="D23" s="52">
        <v>0</v>
      </c>
      <c r="E23" s="54">
        <v>1.4120000000000001E-2</v>
      </c>
      <c r="F23" s="52">
        <v>0</v>
      </c>
      <c r="G23" s="54">
        <v>1.2800000000000001E-2</v>
      </c>
      <c r="H23" s="52">
        <v>0</v>
      </c>
    </row>
    <row r="24" spans="1:8">
      <c r="A24" s="50" t="s">
        <v>461</v>
      </c>
      <c r="B24" s="50" t="s">
        <v>459</v>
      </c>
      <c r="C24" s="54">
        <v>9.0600000000000003E-3</v>
      </c>
      <c r="D24" s="52">
        <v>0</v>
      </c>
      <c r="E24" s="54">
        <v>1.366E-2</v>
      </c>
      <c r="F24" s="52">
        <v>0</v>
      </c>
      <c r="G24" s="54">
        <v>1.273E-2</v>
      </c>
      <c r="H24" s="52">
        <v>0</v>
      </c>
    </row>
    <row r="25" spans="1:8">
      <c r="A25" s="50" t="s">
        <v>461</v>
      </c>
      <c r="B25" s="50" t="s">
        <v>460</v>
      </c>
      <c r="C25" s="54">
        <v>9.1599999999999997E-3</v>
      </c>
      <c r="D25" s="52">
        <v>0</v>
      </c>
      <c r="E25" s="54">
        <v>1.3780000000000001E-2</v>
      </c>
      <c r="F25" s="52">
        <v>0</v>
      </c>
      <c r="G25" s="54">
        <v>1.2869999999999999E-2</v>
      </c>
      <c r="H25" s="52">
        <v>0</v>
      </c>
    </row>
    <row r="27" spans="1:8" ht="15.6">
      <c r="A27" s="85" t="s">
        <v>463</v>
      </c>
      <c r="B27" s="85"/>
      <c r="C27" s="85"/>
      <c r="D27" s="85"/>
      <c r="E27" s="85"/>
      <c r="F27" s="85"/>
      <c r="G27" s="85"/>
      <c r="H27" s="85"/>
    </row>
    <row r="28" spans="1:8">
      <c r="A28" s="44" t="s">
        <v>216</v>
      </c>
      <c r="B28" s="44" t="s">
        <v>453</v>
      </c>
      <c r="C28" s="86" t="s">
        <v>350</v>
      </c>
      <c r="D28" s="86"/>
      <c r="E28" s="86" t="s">
        <v>454</v>
      </c>
      <c r="F28" s="86"/>
      <c r="G28" s="86" t="s">
        <v>354</v>
      </c>
      <c r="H28" s="86"/>
    </row>
    <row r="29" spans="1:8">
      <c r="A29" s="45"/>
      <c r="B29" s="45"/>
      <c r="C29" s="46" t="s">
        <v>455</v>
      </c>
      <c r="D29" s="46" t="s">
        <v>456</v>
      </c>
      <c r="E29" s="46" t="s">
        <v>455</v>
      </c>
      <c r="F29" s="46" t="s">
        <v>456</v>
      </c>
      <c r="G29" s="46" t="s">
        <v>455</v>
      </c>
      <c r="H29" s="46" t="s">
        <v>456</v>
      </c>
    </row>
    <row r="30" spans="1:8">
      <c r="A30" s="47" t="s">
        <v>347</v>
      </c>
      <c r="B30" s="47" t="s">
        <v>457</v>
      </c>
      <c r="C30" s="53">
        <v>5.9300000000000004E-3</v>
      </c>
      <c r="D30" s="49"/>
      <c r="E30" s="53">
        <v>6.6899999999999998E-3</v>
      </c>
      <c r="F30" s="49"/>
      <c r="G30" s="53">
        <v>3.6700000000000001E-3</v>
      </c>
      <c r="H30" s="49"/>
    </row>
    <row r="31" spans="1:8">
      <c r="A31" s="47" t="s">
        <v>347</v>
      </c>
      <c r="B31" s="47" t="s">
        <v>458</v>
      </c>
      <c r="C31" s="53">
        <v>5.7999999999999996E-3</v>
      </c>
      <c r="D31" s="49"/>
      <c r="E31" s="53">
        <v>6.5399999999999998E-3</v>
      </c>
      <c r="F31" s="49"/>
      <c r="G31" s="53">
        <v>3.5200000000000001E-3</v>
      </c>
      <c r="H31" s="49"/>
    </row>
    <row r="32" spans="1:8">
      <c r="A32" s="47" t="s">
        <v>347</v>
      </c>
      <c r="B32" s="47" t="s">
        <v>459</v>
      </c>
      <c r="C32" s="53">
        <v>6.0499999999999998E-3</v>
      </c>
      <c r="D32" s="49"/>
      <c r="E32" s="53">
        <v>6.8399999999999997E-3</v>
      </c>
      <c r="F32" s="49"/>
      <c r="G32" s="53">
        <v>4.2500000000000003E-3</v>
      </c>
      <c r="H32" s="49"/>
    </row>
    <row r="33" spans="1:8">
      <c r="A33" s="47" t="s">
        <v>347</v>
      </c>
      <c r="B33" s="47" t="s">
        <v>460</v>
      </c>
      <c r="C33" s="53">
        <v>5.8199999999999997E-3</v>
      </c>
      <c r="D33" s="49"/>
      <c r="E33" s="53">
        <v>6.4999999999999997E-3</v>
      </c>
      <c r="F33" s="49"/>
      <c r="G33" s="53">
        <v>3.6600000000000001E-3</v>
      </c>
      <c r="H33" s="49"/>
    </row>
    <row r="34" spans="1:8">
      <c r="A34" s="50" t="s">
        <v>461</v>
      </c>
      <c r="B34" s="50" t="s">
        <v>457</v>
      </c>
      <c r="C34" s="54">
        <v>4.8599999999999997E-3</v>
      </c>
      <c r="D34" s="52">
        <v>1E-3</v>
      </c>
      <c r="E34" s="54">
        <v>4.8700000000000002E-3</v>
      </c>
      <c r="F34" s="52">
        <v>1E-3</v>
      </c>
      <c r="G34" s="54">
        <v>2.97E-3</v>
      </c>
      <c r="H34" s="52">
        <v>0</v>
      </c>
    </row>
    <row r="35" spans="1:8">
      <c r="A35" s="50" t="s">
        <v>461</v>
      </c>
      <c r="B35" s="50" t="s">
        <v>458</v>
      </c>
      <c r="C35" s="54">
        <v>4.4600000000000004E-3</v>
      </c>
      <c r="D35" s="52">
        <v>1E-3</v>
      </c>
      <c r="E35" s="54">
        <v>4.9899999999999996E-3</v>
      </c>
      <c r="F35" s="52">
        <v>2E-3</v>
      </c>
      <c r="G35" s="54">
        <v>2.5100000000000001E-3</v>
      </c>
      <c r="H35" s="52">
        <v>0</v>
      </c>
    </row>
    <row r="36" spans="1:8">
      <c r="A36" s="50" t="s">
        <v>461</v>
      </c>
      <c r="B36" s="50" t="s">
        <v>459</v>
      </c>
      <c r="C36" s="54">
        <v>3.8700000000000002E-3</v>
      </c>
      <c r="D36" s="52">
        <v>1E-3</v>
      </c>
      <c r="E36" s="54">
        <v>4.79E-3</v>
      </c>
      <c r="F36" s="52">
        <v>1E-3</v>
      </c>
      <c r="G36" s="54">
        <v>2.64E-3</v>
      </c>
      <c r="H36" s="52">
        <v>1E-3</v>
      </c>
    </row>
    <row r="37" spans="1:8">
      <c r="A37" s="50" t="s">
        <v>461</v>
      </c>
      <c r="B37" s="50" t="s">
        <v>460</v>
      </c>
      <c r="C37" s="54">
        <v>4.96E-3</v>
      </c>
      <c r="D37" s="52">
        <v>1E-3</v>
      </c>
      <c r="E37" s="54">
        <v>4.1599999999999996E-3</v>
      </c>
      <c r="F37" s="52">
        <v>1E-3</v>
      </c>
      <c r="G37" s="54">
        <v>2.8300000000000001E-3</v>
      </c>
      <c r="H37" s="52">
        <v>1E-3</v>
      </c>
    </row>
    <row r="39" spans="1:8" ht="15.6">
      <c r="A39" s="85" t="s">
        <v>464</v>
      </c>
      <c r="B39" s="85"/>
      <c r="C39" s="85"/>
      <c r="D39" s="85"/>
      <c r="E39" s="85"/>
      <c r="F39" s="85"/>
      <c r="G39" s="85"/>
      <c r="H39" s="85"/>
    </row>
    <row r="40" spans="1:8">
      <c r="A40" s="44" t="s">
        <v>216</v>
      </c>
      <c r="B40" s="44" t="s">
        <v>453</v>
      </c>
      <c r="C40" s="86" t="s">
        <v>350</v>
      </c>
      <c r="D40" s="86"/>
      <c r="E40" s="86" t="s">
        <v>454</v>
      </c>
      <c r="F40" s="86"/>
      <c r="G40" s="86" t="s">
        <v>354</v>
      </c>
      <c r="H40" s="86"/>
    </row>
    <row r="41" spans="1:8">
      <c r="A41" s="45"/>
      <c r="B41" s="45"/>
      <c r="C41" s="46" t="s">
        <v>455</v>
      </c>
      <c r="D41" s="46" t="s">
        <v>456</v>
      </c>
      <c r="E41" s="46" t="s">
        <v>455</v>
      </c>
      <c r="F41" s="46" t="s">
        <v>456</v>
      </c>
      <c r="G41" s="46" t="s">
        <v>455</v>
      </c>
      <c r="H41" s="46" t="s">
        <v>456</v>
      </c>
    </row>
    <row r="42" spans="1:8">
      <c r="A42" s="47" t="s">
        <v>347</v>
      </c>
      <c r="B42" s="47" t="s">
        <v>457</v>
      </c>
      <c r="C42" s="48">
        <v>7.3000000000000001E-3</v>
      </c>
      <c r="D42" s="49"/>
      <c r="E42" s="48">
        <v>8.4000000000000005E-2</v>
      </c>
      <c r="F42" s="49"/>
      <c r="G42" s="48">
        <v>1.7299999999999999E-2</v>
      </c>
      <c r="H42" s="49"/>
    </row>
    <row r="43" spans="1:8">
      <c r="A43" s="47" t="s">
        <v>347</v>
      </c>
      <c r="B43" s="47" t="s">
        <v>458</v>
      </c>
      <c r="C43" s="48">
        <v>6.7000000000000002E-3</v>
      </c>
      <c r="D43" s="49"/>
      <c r="E43" s="48">
        <v>8.6099999999999996E-2</v>
      </c>
      <c r="F43" s="49"/>
      <c r="G43" s="48">
        <v>1.7600000000000001E-2</v>
      </c>
      <c r="H43" s="49"/>
    </row>
    <row r="44" spans="1:8">
      <c r="A44" s="47" t="s">
        <v>347</v>
      </c>
      <c r="B44" s="47" t="s">
        <v>459</v>
      </c>
      <c r="C44" s="48">
        <v>7.7000000000000002E-3</v>
      </c>
      <c r="D44" s="49"/>
      <c r="E44" s="48">
        <v>8.4400000000000003E-2</v>
      </c>
      <c r="F44" s="49"/>
      <c r="G44" s="48">
        <v>1.6400000000000001E-2</v>
      </c>
      <c r="H44" s="49"/>
    </row>
    <row r="45" spans="1:8">
      <c r="A45" s="47" t="s">
        <v>347</v>
      </c>
      <c r="B45" s="47" t="s">
        <v>460</v>
      </c>
      <c r="C45" s="48">
        <v>6.7000000000000002E-3</v>
      </c>
      <c r="D45" s="49"/>
      <c r="E45" s="48">
        <v>8.5699999999999998E-2</v>
      </c>
      <c r="F45" s="49"/>
      <c r="G45" s="48">
        <v>1.7500000000000002E-2</v>
      </c>
      <c r="H45" s="49"/>
    </row>
    <row r="46" spans="1:8">
      <c r="A46" s="50" t="s">
        <v>461</v>
      </c>
      <c r="B46" s="50" t="s">
        <v>457</v>
      </c>
      <c r="C46" s="51">
        <v>3.0300000000000001E-2</v>
      </c>
      <c r="D46" s="52">
        <v>8.0000000000000002E-3</v>
      </c>
      <c r="E46" s="51">
        <v>5.8200000000000002E-2</v>
      </c>
      <c r="F46" s="52">
        <v>0.01</v>
      </c>
      <c r="G46" s="51">
        <v>6.0000000000000001E-3</v>
      </c>
      <c r="H46" s="52">
        <v>3.0000000000000001E-3</v>
      </c>
    </row>
    <row r="47" spans="1:8">
      <c r="A47" s="50" t="s">
        <v>461</v>
      </c>
      <c r="B47" s="50" t="s">
        <v>458</v>
      </c>
      <c r="C47" s="51">
        <v>2.9100000000000001E-2</v>
      </c>
      <c r="D47" s="52">
        <v>1.2E-2</v>
      </c>
      <c r="E47" s="51">
        <v>2.6100000000000002E-2</v>
      </c>
      <c r="F47" s="52">
        <v>7.0000000000000001E-3</v>
      </c>
      <c r="G47" s="51">
        <v>5.4000000000000003E-3</v>
      </c>
      <c r="H47" s="52">
        <v>3.0000000000000001E-3</v>
      </c>
    </row>
    <row r="48" spans="1:8">
      <c r="A48" s="50" t="s">
        <v>461</v>
      </c>
      <c r="B48" s="50" t="s">
        <v>459</v>
      </c>
      <c r="C48" s="51">
        <v>2.9700000000000001E-2</v>
      </c>
      <c r="D48" s="52">
        <v>1.2999999999999999E-2</v>
      </c>
      <c r="E48" s="51">
        <v>5.5800000000000002E-2</v>
      </c>
      <c r="F48" s="52">
        <v>3.0000000000000001E-3</v>
      </c>
      <c r="G48" s="51">
        <v>4.0000000000000001E-3</v>
      </c>
      <c r="H48" s="52">
        <v>3.0000000000000001E-3</v>
      </c>
    </row>
    <row r="49" spans="1:8">
      <c r="A49" s="50" t="s">
        <v>461</v>
      </c>
      <c r="B49" s="50" t="s">
        <v>460</v>
      </c>
      <c r="C49" s="51">
        <v>2.46E-2</v>
      </c>
      <c r="D49" s="52">
        <v>7.0000000000000001E-3</v>
      </c>
      <c r="E49" s="51">
        <v>4.9399999999999999E-2</v>
      </c>
      <c r="F49" s="52">
        <v>7.0000000000000001E-3</v>
      </c>
      <c r="G49" s="51">
        <v>4.8999999999999998E-3</v>
      </c>
      <c r="H49" s="52">
        <v>3.0000000000000001E-3</v>
      </c>
    </row>
    <row r="51" spans="1:8" ht="15.6">
      <c r="A51" s="85" t="s">
        <v>465</v>
      </c>
      <c r="B51" s="85"/>
      <c r="C51" s="85"/>
      <c r="D51" s="85"/>
      <c r="E51" s="85"/>
      <c r="F51" s="85"/>
      <c r="G51" s="85"/>
      <c r="H51" s="85"/>
    </row>
    <row r="52" spans="1:8">
      <c r="A52" s="44" t="s">
        <v>216</v>
      </c>
      <c r="B52" s="44" t="s">
        <v>453</v>
      </c>
      <c r="C52" s="86" t="s">
        <v>350</v>
      </c>
      <c r="D52" s="86"/>
      <c r="E52" s="86" t="s">
        <v>454</v>
      </c>
      <c r="F52" s="86"/>
      <c r="G52" s="86" t="s">
        <v>354</v>
      </c>
      <c r="H52" s="86"/>
    </row>
    <row r="53" spans="1:8">
      <c r="A53" s="45"/>
      <c r="B53" s="45"/>
      <c r="C53" s="46" t="s">
        <v>455</v>
      </c>
      <c r="D53" s="46" t="s">
        <v>456</v>
      </c>
      <c r="E53" s="46" t="s">
        <v>455</v>
      </c>
      <c r="F53" s="46" t="s">
        <v>456</v>
      </c>
      <c r="G53" s="46" t="s">
        <v>455</v>
      </c>
      <c r="H53" s="46" t="s">
        <v>456</v>
      </c>
    </row>
    <row r="54" spans="1:8">
      <c r="A54" s="47" t="s">
        <v>347</v>
      </c>
      <c r="B54" s="47" t="s">
        <v>457</v>
      </c>
      <c r="C54" s="49">
        <v>0.98599999999999999</v>
      </c>
      <c r="D54" s="49"/>
      <c r="E54" s="49">
        <v>0.93799999999999994</v>
      </c>
      <c r="F54" s="49"/>
      <c r="G54" s="49">
        <v>0.92900000000000005</v>
      </c>
      <c r="H54" s="49"/>
    </row>
    <row r="55" spans="1:8">
      <c r="A55" s="47" t="s">
        <v>347</v>
      </c>
      <c r="B55" s="47" t="s">
        <v>458</v>
      </c>
      <c r="C55" s="49">
        <v>0.98599999999999999</v>
      </c>
      <c r="D55" s="49"/>
      <c r="E55" s="49">
        <v>0.93799999999999994</v>
      </c>
      <c r="F55" s="49"/>
      <c r="G55" s="49">
        <v>0.93500000000000005</v>
      </c>
      <c r="H55" s="49"/>
    </row>
    <row r="56" spans="1:8">
      <c r="A56" s="47" t="s">
        <v>347</v>
      </c>
      <c r="B56" s="47" t="s">
        <v>459</v>
      </c>
      <c r="C56" s="49">
        <v>0.98599999999999999</v>
      </c>
      <c r="D56" s="49"/>
      <c r="E56" s="49">
        <v>0.93799999999999994</v>
      </c>
      <c r="F56" s="49"/>
      <c r="G56" s="49">
        <v>0.92900000000000005</v>
      </c>
      <c r="H56" s="49"/>
    </row>
    <row r="57" spans="1:8">
      <c r="A57" s="47" t="s">
        <v>347</v>
      </c>
      <c r="B57" s="47" t="s">
        <v>460</v>
      </c>
      <c r="C57" s="49">
        <v>0.98599999999999999</v>
      </c>
      <c r="D57" s="49"/>
      <c r="E57" s="49">
        <v>0.93799999999999994</v>
      </c>
      <c r="F57" s="49"/>
      <c r="G57" s="49">
        <v>0.92900000000000005</v>
      </c>
      <c r="H57" s="49"/>
    </row>
    <row r="58" spans="1:8">
      <c r="A58" s="50" t="s">
        <v>461</v>
      </c>
      <c r="B58" s="50" t="s">
        <v>457</v>
      </c>
      <c r="C58" s="52">
        <v>0.98899999999999999</v>
      </c>
      <c r="D58" s="52">
        <v>7.0000000000000001E-3</v>
      </c>
      <c r="E58" s="52">
        <v>0.91500000000000004</v>
      </c>
      <c r="F58" s="52">
        <v>1.0999999999999999E-2</v>
      </c>
      <c r="G58" s="52">
        <v>0.91200000000000003</v>
      </c>
      <c r="H58" s="52">
        <v>2E-3</v>
      </c>
    </row>
    <row r="59" spans="1:8">
      <c r="A59" s="50" t="s">
        <v>461</v>
      </c>
      <c r="B59" s="50" t="s">
        <v>458</v>
      </c>
      <c r="C59" s="52">
        <v>0.98899999999999999</v>
      </c>
      <c r="D59" s="52">
        <v>4.0000000000000001E-3</v>
      </c>
      <c r="E59" s="52">
        <v>0.95299999999999996</v>
      </c>
      <c r="F59" s="52">
        <v>7.0000000000000001E-3</v>
      </c>
      <c r="G59" s="52">
        <v>0.92</v>
      </c>
      <c r="H59" s="52">
        <v>0.01</v>
      </c>
    </row>
    <row r="60" spans="1:8">
      <c r="A60" s="50" t="s">
        <v>461</v>
      </c>
      <c r="B60" s="50" t="s">
        <v>459</v>
      </c>
      <c r="C60" s="52">
        <v>0.98499999999999999</v>
      </c>
      <c r="D60" s="52">
        <v>5.0000000000000001E-3</v>
      </c>
      <c r="E60" s="52">
        <v>0.92400000000000004</v>
      </c>
      <c r="F60" s="52">
        <v>1.0999999999999999E-2</v>
      </c>
      <c r="G60" s="52">
        <v>0.91400000000000003</v>
      </c>
      <c r="H60" s="52">
        <v>8.0000000000000002E-3</v>
      </c>
    </row>
    <row r="61" spans="1:8">
      <c r="A61" s="50" t="s">
        <v>461</v>
      </c>
      <c r="B61" s="50" t="s">
        <v>460</v>
      </c>
      <c r="C61" s="52">
        <v>0.99199999999999999</v>
      </c>
      <c r="D61" s="52">
        <v>2E-3</v>
      </c>
      <c r="E61" s="52">
        <v>0.94799999999999995</v>
      </c>
      <c r="F61" s="52">
        <v>5.0000000000000001E-3</v>
      </c>
      <c r="G61" s="52">
        <v>0.92500000000000004</v>
      </c>
      <c r="H61" s="52">
        <v>1.2E-2</v>
      </c>
    </row>
  </sheetData>
  <mergeCells count="21">
    <mergeCell ref="A51:H51"/>
    <mergeCell ref="C52:D52"/>
    <mergeCell ref="E52:F52"/>
    <mergeCell ref="G52:H52"/>
    <mergeCell ref="C28:D28"/>
    <mergeCell ref="E28:F28"/>
    <mergeCell ref="G28:H28"/>
    <mergeCell ref="A39:H39"/>
    <mergeCell ref="C40:D40"/>
    <mergeCell ref="E40:F40"/>
    <mergeCell ref="G40:H40"/>
    <mergeCell ref="A15:H15"/>
    <mergeCell ref="C16:D16"/>
    <mergeCell ref="E16:F16"/>
    <mergeCell ref="G16:H16"/>
    <mergeCell ref="A27:H27"/>
    <mergeCell ref="A1:H1"/>
    <mergeCell ref="A3:H3"/>
    <mergeCell ref="C4:D4"/>
    <mergeCell ref="E4:F4"/>
    <mergeCell ref="G4:H4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652C-EB09-45AC-B488-C3560B7F3624}">
  <dimension ref="A1:J50"/>
  <sheetViews>
    <sheetView zoomScaleNormal="100" workbookViewId="0">
      <pane ySplit="3" topLeftCell="A4" activePane="bottomLeft" state="frozen"/>
      <selection pane="bottomLeft" activeCell="B53" sqref="B53"/>
    </sheetView>
  </sheetViews>
  <sheetFormatPr defaultColWidth="7.796875" defaultRowHeight="14.4"/>
  <cols>
    <col min="1" max="1" width="28.796875" style="43" customWidth="1"/>
    <col min="2" max="2" width="54" style="43" customWidth="1"/>
    <col min="3" max="3" width="25.19921875" style="43" customWidth="1"/>
    <col min="4" max="9" width="7.796875" style="43"/>
    <col min="10" max="10" width="30.8984375" style="43" customWidth="1"/>
    <col min="11" max="16384" width="7.796875" style="43"/>
  </cols>
  <sheetData>
    <row r="1" spans="1:3" ht="17.25" customHeight="1">
      <c r="A1" s="89" t="s">
        <v>466</v>
      </c>
      <c r="B1" s="89"/>
      <c r="C1" s="89"/>
    </row>
    <row r="3" spans="1:3" ht="15" customHeight="1">
      <c r="A3" s="55" t="s">
        <v>467</v>
      </c>
      <c r="B3" s="55" t="s">
        <v>468</v>
      </c>
      <c r="C3" s="55" t="s">
        <v>469</v>
      </c>
    </row>
    <row r="4" spans="1:3" ht="15" customHeight="1">
      <c r="A4" s="56" t="s">
        <v>470</v>
      </c>
      <c r="B4" s="57" t="s">
        <v>471</v>
      </c>
      <c r="C4" s="58" t="s">
        <v>472</v>
      </c>
    </row>
    <row r="5" spans="1:3" ht="15" customHeight="1">
      <c r="A5" s="56" t="s">
        <v>473</v>
      </c>
      <c r="B5" s="57" t="s">
        <v>474</v>
      </c>
      <c r="C5" s="58" t="s">
        <v>475</v>
      </c>
    </row>
    <row r="6" spans="1:3" ht="15" customHeight="1">
      <c r="A6" s="56" t="s">
        <v>476</v>
      </c>
      <c r="B6" s="57" t="s">
        <v>477</v>
      </c>
      <c r="C6" s="58"/>
    </row>
    <row r="7" spans="1:3" ht="15" customHeight="1">
      <c r="A7" s="56" t="s">
        <v>478</v>
      </c>
      <c r="B7" s="57" t="s">
        <v>479</v>
      </c>
      <c r="C7" s="58"/>
    </row>
    <row r="8" spans="1:3" ht="15" customHeight="1">
      <c r="A8" s="56" t="s">
        <v>480</v>
      </c>
      <c r="B8" s="57" t="s">
        <v>481</v>
      </c>
      <c r="C8" s="58"/>
    </row>
    <row r="9" spans="1:3" ht="15" customHeight="1">
      <c r="A9" s="59" t="s">
        <v>482</v>
      </c>
      <c r="B9" s="60" t="s">
        <v>483</v>
      </c>
      <c r="C9" s="59"/>
    </row>
    <row r="10" spans="1:3" ht="15" customHeight="1">
      <c r="A10" s="56" t="s">
        <v>484</v>
      </c>
      <c r="B10" s="57" t="s">
        <v>485</v>
      </c>
      <c r="C10" s="58" t="s">
        <v>486</v>
      </c>
    </row>
    <row r="12" spans="1:3" ht="17.25" customHeight="1">
      <c r="A12" s="89" t="s">
        <v>487</v>
      </c>
      <c r="B12" s="89"/>
      <c r="C12" s="89"/>
    </row>
    <row r="14" spans="1:3" ht="15" customHeight="1">
      <c r="A14" s="61" t="s">
        <v>488</v>
      </c>
      <c r="B14" s="62" t="s">
        <v>489</v>
      </c>
      <c r="C14" s="61" t="s">
        <v>490</v>
      </c>
    </row>
    <row r="15" spans="1:3" ht="36" customHeight="1">
      <c r="A15" s="56" t="s">
        <v>491</v>
      </c>
      <c r="B15" s="58" t="s">
        <v>492</v>
      </c>
      <c r="C15" s="58" t="s">
        <v>493</v>
      </c>
    </row>
    <row r="16" spans="1:3" ht="36" customHeight="1">
      <c r="A16" s="56" t="s">
        <v>494</v>
      </c>
      <c r="B16" s="58" t="s">
        <v>495</v>
      </c>
      <c r="C16" s="58" t="s">
        <v>496</v>
      </c>
    </row>
    <row r="17" spans="1:10" ht="36" customHeight="1">
      <c r="A17" s="63" t="s">
        <v>497</v>
      </c>
      <c r="B17" s="64" t="s">
        <v>498</v>
      </c>
      <c r="C17" s="64" t="s">
        <v>483</v>
      </c>
    </row>
    <row r="19" spans="1:10" ht="17.399999999999999">
      <c r="A19" s="90" t="s">
        <v>499</v>
      </c>
      <c r="B19" s="90"/>
      <c r="C19" s="90"/>
      <c r="D19" s="90"/>
      <c r="E19" s="90"/>
      <c r="F19" s="90"/>
      <c r="G19" s="90"/>
      <c r="H19" s="90"/>
      <c r="I19" s="90"/>
      <c r="J19" s="90"/>
    </row>
    <row r="20" spans="1:10">
      <c r="A20" s="91" t="s">
        <v>500</v>
      </c>
      <c r="B20" s="91"/>
      <c r="C20" s="91"/>
      <c r="D20" s="91"/>
      <c r="E20" s="91"/>
      <c r="F20" s="91"/>
      <c r="G20" s="91"/>
      <c r="H20" s="91"/>
      <c r="I20" s="91"/>
      <c r="J20" s="91"/>
    </row>
    <row r="21" spans="1:10" ht="17.399999999999999">
      <c r="A21" s="65"/>
      <c r="B21" s="65"/>
      <c r="C21" s="65"/>
      <c r="D21" s="65"/>
      <c r="E21" s="65"/>
      <c r="F21" s="65"/>
      <c r="G21" s="65"/>
      <c r="H21" s="65"/>
      <c r="I21" s="65"/>
      <c r="J21" s="65"/>
    </row>
    <row r="22" spans="1:10">
      <c r="A22" s="66" t="s">
        <v>346</v>
      </c>
      <c r="B22" s="66" t="s">
        <v>501</v>
      </c>
      <c r="C22" s="66" t="s">
        <v>502</v>
      </c>
      <c r="D22" s="66" t="s">
        <v>503</v>
      </c>
      <c r="E22" s="66" t="s">
        <v>504</v>
      </c>
      <c r="F22" s="66" t="s">
        <v>505</v>
      </c>
      <c r="G22" s="66" t="s">
        <v>506</v>
      </c>
      <c r="H22" s="66" t="s">
        <v>507</v>
      </c>
      <c r="I22" s="66" t="s">
        <v>508</v>
      </c>
      <c r="J22" s="66" t="s">
        <v>509</v>
      </c>
    </row>
    <row r="23" spans="1:10">
      <c r="A23" s="67" t="s">
        <v>350</v>
      </c>
      <c r="B23" s="67" t="s">
        <v>510</v>
      </c>
      <c r="C23" s="68">
        <v>128</v>
      </c>
      <c r="D23" s="68">
        <v>3</v>
      </c>
      <c r="E23" s="68">
        <v>4</v>
      </c>
      <c r="F23" s="68">
        <v>64</v>
      </c>
      <c r="G23" s="68" t="s">
        <v>511</v>
      </c>
      <c r="H23" s="68" t="s">
        <v>511</v>
      </c>
      <c r="I23" s="68" t="s">
        <v>512</v>
      </c>
      <c r="J23" s="67" t="s">
        <v>513</v>
      </c>
    </row>
    <row r="24" spans="1:10">
      <c r="A24" s="67" t="s">
        <v>352</v>
      </c>
      <c r="B24" s="67" t="s">
        <v>514</v>
      </c>
      <c r="C24" s="68">
        <v>96</v>
      </c>
      <c r="D24" s="68">
        <v>2</v>
      </c>
      <c r="E24" s="68">
        <v>4</v>
      </c>
      <c r="F24" s="68">
        <v>64</v>
      </c>
      <c r="G24" s="68" t="s">
        <v>511</v>
      </c>
      <c r="H24" s="68" t="s">
        <v>515</v>
      </c>
      <c r="I24" s="68" t="s">
        <v>516</v>
      </c>
      <c r="J24" s="67" t="s">
        <v>517</v>
      </c>
    </row>
    <row r="25" spans="1:10">
      <c r="A25" s="67" t="s">
        <v>354</v>
      </c>
      <c r="B25" s="67" t="s">
        <v>518</v>
      </c>
      <c r="C25" s="68">
        <v>128</v>
      </c>
      <c r="D25" s="68">
        <v>3</v>
      </c>
      <c r="E25" s="68">
        <v>4</v>
      </c>
      <c r="F25" s="68">
        <v>32</v>
      </c>
      <c r="G25" s="68" t="s">
        <v>511</v>
      </c>
      <c r="H25" s="68" t="s">
        <v>511</v>
      </c>
      <c r="I25" s="68" t="s">
        <v>519</v>
      </c>
      <c r="J25" s="67" t="s">
        <v>520</v>
      </c>
    </row>
    <row r="26" spans="1:10" ht="17.399999999999999">
      <c r="A26" s="65"/>
      <c r="B26" s="65"/>
      <c r="C26" s="65"/>
      <c r="D26" s="65"/>
      <c r="E26" s="65"/>
      <c r="F26" s="65"/>
      <c r="G26" s="65"/>
      <c r="H26" s="65"/>
      <c r="I26" s="65"/>
      <c r="J26" s="65"/>
    </row>
    <row r="27" spans="1:10" ht="17.399999999999999">
      <c r="A27" s="65"/>
      <c r="B27" s="65"/>
      <c r="C27" s="65"/>
      <c r="D27" s="65"/>
      <c r="E27" s="65"/>
      <c r="F27" s="65"/>
      <c r="G27" s="65"/>
      <c r="H27" s="65"/>
      <c r="I27" s="65"/>
      <c r="J27" s="65"/>
    </row>
    <row r="28" spans="1:10">
      <c r="A28" s="92" t="s">
        <v>521</v>
      </c>
      <c r="B28" s="92"/>
      <c r="C28" s="92"/>
      <c r="D28" s="92"/>
      <c r="E28" s="92"/>
      <c r="F28" s="92"/>
      <c r="G28" s="92"/>
      <c r="H28" s="92"/>
      <c r="I28" s="92"/>
      <c r="J28" s="92"/>
    </row>
    <row r="29" spans="1:10">
      <c r="A29" s="88" t="s">
        <v>522</v>
      </c>
      <c r="B29" s="88"/>
      <c r="C29" s="88"/>
      <c r="D29" s="88"/>
      <c r="E29" s="88"/>
      <c r="F29" s="88"/>
      <c r="G29" s="88"/>
      <c r="H29" s="88"/>
      <c r="I29" s="88"/>
      <c r="J29" s="88"/>
    </row>
    <row r="30" spans="1:10">
      <c r="A30" s="87" t="s">
        <v>523</v>
      </c>
      <c r="B30" s="87"/>
      <c r="C30" s="87"/>
      <c r="D30" s="87"/>
      <c r="E30" s="87"/>
      <c r="F30" s="87"/>
      <c r="G30" s="87"/>
      <c r="H30" s="87"/>
      <c r="I30" s="87"/>
      <c r="J30" s="87"/>
    </row>
    <row r="31" spans="1:10">
      <c r="A31" s="88" t="s">
        <v>524</v>
      </c>
      <c r="B31" s="88"/>
      <c r="C31" s="88"/>
      <c r="D31" s="88"/>
      <c r="E31" s="88"/>
      <c r="F31" s="88"/>
      <c r="G31" s="88"/>
      <c r="H31" s="88"/>
      <c r="I31" s="88"/>
      <c r="J31" s="88"/>
    </row>
    <row r="33" spans="1:1">
      <c r="A33" s="69" t="s">
        <v>537</v>
      </c>
    </row>
    <row r="35" spans="1:1">
      <c r="A35" s="43" t="s">
        <v>525</v>
      </c>
    </row>
    <row r="36" spans="1:1">
      <c r="A36" s="43" t="s">
        <v>526</v>
      </c>
    </row>
    <row r="37" spans="1:1">
      <c r="A37" s="43" t="s">
        <v>527</v>
      </c>
    </row>
    <row r="38" spans="1:1">
      <c r="A38" s="43" t="s">
        <v>528</v>
      </c>
    </row>
    <row r="39" spans="1:1">
      <c r="A39" s="43" t="s">
        <v>529</v>
      </c>
    </row>
    <row r="40" spans="1:1">
      <c r="A40" s="43" t="s">
        <v>530</v>
      </c>
    </row>
    <row r="41" spans="1:1">
      <c r="A41" s="43" t="s">
        <v>531</v>
      </c>
    </row>
    <row r="42" spans="1:1">
      <c r="A42" s="43" t="s">
        <v>532</v>
      </c>
    </row>
    <row r="43" spans="1:1">
      <c r="A43" s="43" t="s">
        <v>533</v>
      </c>
    </row>
    <row r="44" spans="1:1">
      <c r="A44" s="43" t="s">
        <v>534</v>
      </c>
    </row>
    <row r="45" spans="1:1">
      <c r="A45" s="43" t="s">
        <v>535</v>
      </c>
    </row>
    <row r="46" spans="1:1">
      <c r="A46" s="43" t="s">
        <v>536</v>
      </c>
    </row>
    <row r="50" spans="1:1">
      <c r="A50" s="70"/>
    </row>
  </sheetData>
  <mergeCells count="8">
    <mergeCell ref="A30:J30"/>
    <mergeCell ref="A31:J31"/>
    <mergeCell ref="A1:C1"/>
    <mergeCell ref="A12:C12"/>
    <mergeCell ref="A19:J19"/>
    <mergeCell ref="A20:J20"/>
    <mergeCell ref="A28:J28"/>
    <mergeCell ref="A29:J29"/>
  </mergeCells>
  <phoneticPr fontId="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54A8-BBD5-46CB-8DA1-568F95F5E5F9}">
  <dimension ref="A1:A103"/>
  <sheetViews>
    <sheetView topLeftCell="A96" workbookViewId="0">
      <selection activeCell="J109" sqref="A108:J109"/>
    </sheetView>
  </sheetViews>
  <sheetFormatPr defaultRowHeight="17.399999999999999"/>
  <sheetData>
    <row r="1" spans="1:1">
      <c r="A1" s="42" t="s">
        <v>358</v>
      </c>
    </row>
    <row r="2" spans="1:1">
      <c r="A2" s="42" t="s">
        <v>359</v>
      </c>
    </row>
    <row r="3" spans="1:1">
      <c r="A3" s="42" t="s">
        <v>360</v>
      </c>
    </row>
    <row r="4" spans="1:1">
      <c r="A4" s="42" t="s">
        <v>361</v>
      </c>
    </row>
    <row r="5" spans="1:1">
      <c r="A5" s="42" t="s">
        <v>362</v>
      </c>
    </row>
    <row r="6" spans="1:1">
      <c r="A6" s="42" t="s">
        <v>358</v>
      </c>
    </row>
    <row r="7" spans="1:1">
      <c r="A7" s="20"/>
    </row>
    <row r="8" spans="1:1">
      <c r="A8" s="42" t="s">
        <v>363</v>
      </c>
    </row>
    <row r="9" spans="1:1">
      <c r="A9" s="42" t="s">
        <v>364</v>
      </c>
    </row>
    <row r="10" spans="1:1">
      <c r="A10" s="42" t="s">
        <v>365</v>
      </c>
    </row>
    <row r="11" spans="1:1">
      <c r="A11" s="42" t="s">
        <v>366</v>
      </c>
    </row>
    <row r="12" spans="1:1">
      <c r="A12" s="42" t="s">
        <v>367</v>
      </c>
    </row>
    <row r="13" spans="1:1">
      <c r="A13" s="42" t="s">
        <v>368</v>
      </c>
    </row>
    <row r="14" spans="1:1">
      <c r="A14" s="42" t="s">
        <v>369</v>
      </c>
    </row>
    <row r="15" spans="1:1">
      <c r="A15" s="42" t="s">
        <v>370</v>
      </c>
    </row>
    <row r="16" spans="1:1">
      <c r="A16" s="42" t="s">
        <v>371</v>
      </c>
    </row>
    <row r="17" spans="1:1">
      <c r="A17" s="42" t="s">
        <v>372</v>
      </c>
    </row>
    <row r="18" spans="1:1">
      <c r="A18" s="42" t="s">
        <v>373</v>
      </c>
    </row>
    <row r="19" spans="1:1">
      <c r="A19" s="42" t="s">
        <v>374</v>
      </c>
    </row>
    <row r="20" spans="1:1">
      <c r="A20" s="42" t="s">
        <v>375</v>
      </c>
    </row>
    <row r="21" spans="1:1">
      <c r="A21" s="42" t="s">
        <v>376</v>
      </c>
    </row>
    <row r="22" spans="1:1">
      <c r="A22" s="42" t="s">
        <v>377</v>
      </c>
    </row>
    <row r="23" spans="1:1">
      <c r="A23" s="42" t="s">
        <v>378</v>
      </c>
    </row>
    <row r="24" spans="1:1">
      <c r="A24" s="42" t="s">
        <v>379</v>
      </c>
    </row>
    <row r="25" spans="1:1">
      <c r="A25" s="42" t="s">
        <v>380</v>
      </c>
    </row>
    <row r="26" spans="1:1">
      <c r="A26" s="42" t="s">
        <v>381</v>
      </c>
    </row>
    <row r="27" spans="1:1">
      <c r="A27" s="42" t="s">
        <v>382</v>
      </c>
    </row>
    <row r="28" spans="1:1">
      <c r="A28" s="42" t="s">
        <v>383</v>
      </c>
    </row>
    <row r="29" spans="1:1">
      <c r="A29" s="42" t="s">
        <v>384</v>
      </c>
    </row>
    <row r="30" spans="1:1">
      <c r="A30" s="42" t="s">
        <v>385</v>
      </c>
    </row>
    <row r="31" spans="1:1">
      <c r="A31" s="42" t="s">
        <v>386</v>
      </c>
    </row>
    <row r="32" spans="1:1">
      <c r="A32" s="42" t="s">
        <v>387</v>
      </c>
    </row>
    <row r="33" spans="1:1">
      <c r="A33" s="42" t="s">
        <v>388</v>
      </c>
    </row>
    <row r="34" spans="1:1">
      <c r="A34" s="42" t="s">
        <v>389</v>
      </c>
    </row>
    <row r="35" spans="1:1">
      <c r="A35" s="42" t="s">
        <v>390</v>
      </c>
    </row>
    <row r="36" spans="1:1">
      <c r="A36" s="42" t="s">
        <v>391</v>
      </c>
    </row>
    <row r="37" spans="1:1">
      <c r="A37" s="20"/>
    </row>
    <row r="38" spans="1:1">
      <c r="A38" s="42" t="s">
        <v>392</v>
      </c>
    </row>
    <row r="39" spans="1:1">
      <c r="A39" s="42" t="s">
        <v>364</v>
      </c>
    </row>
    <row r="40" spans="1:1">
      <c r="A40" s="42" t="s">
        <v>365</v>
      </c>
    </row>
    <row r="41" spans="1:1">
      <c r="A41" s="42" t="s">
        <v>393</v>
      </c>
    </row>
    <row r="42" spans="1:1">
      <c r="A42" s="42" t="s">
        <v>394</v>
      </c>
    </row>
    <row r="43" spans="1:1">
      <c r="A43" s="42" t="s">
        <v>395</v>
      </c>
    </row>
    <row r="44" spans="1:1">
      <c r="A44" s="42" t="s">
        <v>396</v>
      </c>
    </row>
    <row r="45" spans="1:1">
      <c r="A45" s="42" t="s">
        <v>397</v>
      </c>
    </row>
    <row r="46" spans="1:1">
      <c r="A46" s="42" t="s">
        <v>398</v>
      </c>
    </row>
    <row r="47" spans="1:1">
      <c r="A47" s="42" t="s">
        <v>399</v>
      </c>
    </row>
    <row r="48" spans="1:1">
      <c r="A48" s="42" t="s">
        <v>400</v>
      </c>
    </row>
    <row r="49" spans="1:1">
      <c r="A49" s="42" t="s">
        <v>401</v>
      </c>
    </row>
    <row r="50" spans="1:1">
      <c r="A50" s="42" t="s">
        <v>402</v>
      </c>
    </row>
    <row r="51" spans="1:1">
      <c r="A51" s="42" t="s">
        <v>403</v>
      </c>
    </row>
    <row r="52" spans="1:1">
      <c r="A52" s="42" t="s">
        <v>404</v>
      </c>
    </row>
    <row r="53" spans="1:1">
      <c r="A53" s="42" t="s">
        <v>405</v>
      </c>
    </row>
    <row r="54" spans="1:1">
      <c r="A54" s="42" t="s">
        <v>406</v>
      </c>
    </row>
    <row r="55" spans="1:1">
      <c r="A55" s="42" t="s">
        <v>407</v>
      </c>
    </row>
    <row r="56" spans="1:1">
      <c r="A56" s="42" t="s">
        <v>408</v>
      </c>
    </row>
    <row r="57" spans="1:1">
      <c r="A57" s="42" t="s">
        <v>409</v>
      </c>
    </row>
    <row r="58" spans="1:1">
      <c r="A58" s="42" t="s">
        <v>410</v>
      </c>
    </row>
    <row r="59" spans="1:1">
      <c r="A59" s="42" t="s">
        <v>411</v>
      </c>
    </row>
    <row r="60" spans="1:1">
      <c r="A60" s="42" t="s">
        <v>412</v>
      </c>
    </row>
    <row r="61" spans="1:1">
      <c r="A61" s="42" t="s">
        <v>413</v>
      </c>
    </row>
    <row r="62" spans="1:1">
      <c r="A62" s="42" t="s">
        <v>414</v>
      </c>
    </row>
    <row r="63" spans="1:1">
      <c r="A63" s="42" t="s">
        <v>415</v>
      </c>
    </row>
    <row r="64" spans="1:1">
      <c r="A64" s="42" t="s">
        <v>416</v>
      </c>
    </row>
    <row r="65" spans="1:1">
      <c r="A65" s="42" t="s">
        <v>417</v>
      </c>
    </row>
    <row r="66" spans="1:1">
      <c r="A66" s="42" t="s">
        <v>418</v>
      </c>
    </row>
    <row r="67" spans="1:1">
      <c r="A67" s="42" t="s">
        <v>419</v>
      </c>
    </row>
    <row r="68" spans="1:1">
      <c r="A68" s="20"/>
    </row>
    <row r="69" spans="1:1">
      <c r="A69" s="42" t="s">
        <v>420</v>
      </c>
    </row>
    <row r="70" spans="1:1">
      <c r="A70" s="42" t="s">
        <v>364</v>
      </c>
    </row>
    <row r="71" spans="1:1">
      <c r="A71" s="42" t="s">
        <v>365</v>
      </c>
    </row>
    <row r="72" spans="1:1">
      <c r="A72" s="42" t="s">
        <v>421</v>
      </c>
    </row>
    <row r="73" spans="1:1">
      <c r="A73" s="42" t="s">
        <v>422</v>
      </c>
    </row>
    <row r="74" spans="1:1">
      <c r="A74" s="42" t="s">
        <v>423</v>
      </c>
    </row>
    <row r="75" spans="1:1">
      <c r="A75" s="42" t="s">
        <v>424</v>
      </c>
    </row>
    <row r="76" spans="1:1">
      <c r="A76" s="42" t="s">
        <v>425</v>
      </c>
    </row>
    <row r="77" spans="1:1">
      <c r="A77" s="42" t="s">
        <v>426</v>
      </c>
    </row>
    <row r="78" spans="1:1">
      <c r="A78" s="42" t="s">
        <v>427</v>
      </c>
    </row>
    <row r="79" spans="1:1">
      <c r="A79" s="42" t="s">
        <v>428</v>
      </c>
    </row>
    <row r="80" spans="1:1">
      <c r="A80" s="42" t="s">
        <v>429</v>
      </c>
    </row>
    <row r="81" spans="1:1">
      <c r="A81" s="42" t="s">
        <v>430</v>
      </c>
    </row>
    <row r="82" spans="1:1">
      <c r="A82" s="42" t="s">
        <v>431</v>
      </c>
    </row>
    <row r="83" spans="1:1">
      <c r="A83" s="42" t="s">
        <v>432</v>
      </c>
    </row>
    <row r="84" spans="1:1">
      <c r="A84" s="42" t="s">
        <v>433</v>
      </c>
    </row>
    <row r="85" spans="1:1">
      <c r="A85" s="42" t="s">
        <v>434</v>
      </c>
    </row>
    <row r="86" spans="1:1">
      <c r="A86" s="42" t="s">
        <v>435</v>
      </c>
    </row>
    <row r="87" spans="1:1">
      <c r="A87" s="42" t="s">
        <v>436</v>
      </c>
    </row>
    <row r="88" spans="1:1">
      <c r="A88" s="42" t="s">
        <v>437</v>
      </c>
    </row>
    <row r="89" spans="1:1">
      <c r="A89" s="42" t="s">
        <v>438</v>
      </c>
    </row>
    <row r="90" spans="1:1">
      <c r="A90" s="42" t="s">
        <v>439</v>
      </c>
    </row>
    <row r="91" spans="1:1">
      <c r="A91" s="42" t="s">
        <v>440</v>
      </c>
    </row>
    <row r="92" spans="1:1">
      <c r="A92" s="42" t="s">
        <v>441</v>
      </c>
    </row>
    <row r="93" spans="1:1">
      <c r="A93" s="42" t="s">
        <v>442</v>
      </c>
    </row>
    <row r="94" spans="1:1">
      <c r="A94" s="42" t="s">
        <v>443</v>
      </c>
    </row>
    <row r="95" spans="1:1">
      <c r="A95" s="42" t="s">
        <v>444</v>
      </c>
    </row>
    <row r="96" spans="1:1">
      <c r="A96" s="42" t="s">
        <v>445</v>
      </c>
    </row>
    <row r="97" spans="1:1">
      <c r="A97" s="42" t="s">
        <v>446</v>
      </c>
    </row>
    <row r="98" spans="1:1">
      <c r="A98" s="20"/>
    </row>
    <row r="99" spans="1:1">
      <c r="A99" s="20"/>
    </row>
    <row r="100" spans="1:1">
      <c r="A100" s="42" t="s">
        <v>447</v>
      </c>
    </row>
    <row r="101" spans="1:1">
      <c r="A101" s="42" t="s">
        <v>448</v>
      </c>
    </row>
    <row r="102" spans="1:1">
      <c r="A102" s="42" t="s">
        <v>449</v>
      </c>
    </row>
    <row r="103" spans="1:1">
      <c r="A103" s="42" t="s">
        <v>450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447A-0287-487A-A8AA-1747766F3164}">
  <dimension ref="A1:C37"/>
  <sheetViews>
    <sheetView topLeftCell="A19" workbookViewId="0">
      <selection activeCell="C39" sqref="C39"/>
    </sheetView>
  </sheetViews>
  <sheetFormatPr defaultRowHeight="17.399999999999999"/>
  <cols>
    <col min="1" max="1" width="16.59765625" customWidth="1"/>
    <col min="2" max="2" width="23.09765625" customWidth="1"/>
    <col min="3" max="3" width="48.5" customWidth="1"/>
  </cols>
  <sheetData>
    <row r="1" spans="1:3" ht="18" thickBot="1">
      <c r="A1" s="12" t="s">
        <v>538</v>
      </c>
      <c r="B1" s="12" t="s">
        <v>542</v>
      </c>
      <c r="C1" s="40" t="s">
        <v>543</v>
      </c>
    </row>
    <row r="2" spans="1:3" ht="23.4" thickBot="1">
      <c r="A2" s="14" t="s">
        <v>539</v>
      </c>
      <c r="B2" s="14" t="s">
        <v>544</v>
      </c>
      <c r="C2" s="40">
        <v>4</v>
      </c>
    </row>
    <row r="3" spans="1:3" ht="23.4" thickBot="1">
      <c r="A3" s="14" t="s">
        <v>540</v>
      </c>
      <c r="B3" s="14" t="s">
        <v>545</v>
      </c>
      <c r="C3" s="40">
        <v>8</v>
      </c>
    </row>
    <row r="4" spans="1:3" ht="34.799999999999997" thickBot="1">
      <c r="A4" s="14" t="s">
        <v>541</v>
      </c>
      <c r="B4" s="14" t="s">
        <v>546</v>
      </c>
      <c r="C4" s="40">
        <v>8</v>
      </c>
    </row>
    <row r="6" spans="1:3">
      <c r="A6" s="73" t="s">
        <v>550</v>
      </c>
      <c r="B6" s="20"/>
      <c r="C6" s="20"/>
    </row>
    <row r="7" spans="1:3" ht="22.8">
      <c r="A7" s="74" t="s">
        <v>551</v>
      </c>
      <c r="B7" s="20"/>
      <c r="C7" s="20"/>
    </row>
    <row r="8" spans="1:3">
      <c r="A8" s="71"/>
    </row>
    <row r="9" spans="1:3">
      <c r="A9" t="s">
        <v>552</v>
      </c>
    </row>
    <row r="10" spans="1:3">
      <c r="A10" t="s">
        <v>553</v>
      </c>
    </row>
    <row r="11" spans="1:3">
      <c r="A11" t="s">
        <v>554</v>
      </c>
    </row>
    <row r="12" spans="1:3">
      <c r="A12" t="s">
        <v>555</v>
      </c>
    </row>
    <row r="13" spans="1:3">
      <c r="A13" t="s">
        <v>556</v>
      </c>
    </row>
    <row r="14" spans="1:3">
      <c r="A14" t="s">
        <v>557</v>
      </c>
    </row>
    <row r="15" spans="1:3">
      <c r="A15" t="s">
        <v>558</v>
      </c>
    </row>
    <row r="16" spans="1:3">
      <c r="A16" t="s">
        <v>559</v>
      </c>
    </row>
    <row r="17" spans="1:1">
      <c r="A17" t="s">
        <v>560</v>
      </c>
    </row>
    <row r="18" spans="1:1">
      <c r="A18" t="s">
        <v>561</v>
      </c>
    </row>
    <row r="19" spans="1:1">
      <c r="A19" t="s">
        <v>562</v>
      </c>
    </row>
    <row r="20" spans="1:1">
      <c r="A20" t="s">
        <v>563</v>
      </c>
    </row>
    <row r="21" spans="1:1">
      <c r="A21" t="s">
        <v>564</v>
      </c>
    </row>
    <row r="22" spans="1:1">
      <c r="A22" t="s">
        <v>565</v>
      </c>
    </row>
    <row r="23" spans="1:1">
      <c r="A23" t="s">
        <v>566</v>
      </c>
    </row>
    <row r="24" spans="1:1">
      <c r="A24" t="s">
        <v>567</v>
      </c>
    </row>
    <row r="25" spans="1:1">
      <c r="A25" t="s">
        <v>568</v>
      </c>
    </row>
    <row r="26" spans="1:1">
      <c r="A26" t="s">
        <v>569</v>
      </c>
    </row>
    <row r="27" spans="1:1">
      <c r="A27" t="s">
        <v>570</v>
      </c>
    </row>
    <row r="28" spans="1:1">
      <c r="A28" t="s">
        <v>571</v>
      </c>
    </row>
    <row r="29" spans="1:1">
      <c r="A29" t="s">
        <v>572</v>
      </c>
    </row>
    <row r="30" spans="1:1">
      <c r="A30" t="s">
        <v>573</v>
      </c>
    </row>
    <row r="31" spans="1:1">
      <c r="A31" t="s">
        <v>574</v>
      </c>
    </row>
    <row r="32" spans="1:1">
      <c r="A32" t="s">
        <v>575</v>
      </c>
    </row>
    <row r="33" spans="1:1">
      <c r="A33" t="s">
        <v>576</v>
      </c>
    </row>
    <row r="35" spans="1:1">
      <c r="A35" s="72" t="s">
        <v>547</v>
      </c>
    </row>
    <row r="36" spans="1:1">
      <c r="A36" t="s">
        <v>548</v>
      </c>
    </row>
    <row r="37" spans="1:1">
      <c r="A37" t="s">
        <v>549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469A3-748C-4E84-A30E-356F3147A5E4}">
  <dimension ref="A1:D5"/>
  <sheetViews>
    <sheetView workbookViewId="0">
      <selection activeCell="A7" sqref="A7"/>
    </sheetView>
  </sheetViews>
  <sheetFormatPr defaultRowHeight="17.399999999999999"/>
  <sheetData>
    <row r="1" spans="1:4" ht="23.4" thickBot="1">
      <c r="A1" s="12" t="s">
        <v>346</v>
      </c>
      <c r="B1" s="40" t="s">
        <v>347</v>
      </c>
      <c r="C1" s="40" t="s">
        <v>348</v>
      </c>
      <c r="D1" s="40" t="s">
        <v>349</v>
      </c>
    </row>
    <row r="2" spans="1:4" ht="18" thickBot="1">
      <c r="A2" s="14" t="s">
        <v>350</v>
      </c>
      <c r="B2" s="41">
        <v>1.1990000000000001</v>
      </c>
      <c r="C2" s="40">
        <v>1.1819999999999999</v>
      </c>
      <c r="D2" s="41" t="s">
        <v>351</v>
      </c>
    </row>
    <row r="3" spans="1:4" ht="18" thickBot="1">
      <c r="A3" s="14" t="s">
        <v>352</v>
      </c>
      <c r="B3" s="41">
        <v>1.246</v>
      </c>
      <c r="C3" s="40">
        <v>1.1359999999999999</v>
      </c>
      <c r="D3" s="40" t="s">
        <v>353</v>
      </c>
    </row>
    <row r="4" spans="1:4" ht="18" thickBot="1">
      <c r="A4" s="14" t="s">
        <v>354</v>
      </c>
      <c r="B4" s="41">
        <v>1.456</v>
      </c>
      <c r="C4" s="40">
        <v>1.409</v>
      </c>
      <c r="D4" s="41" t="s">
        <v>355</v>
      </c>
    </row>
    <row r="5" spans="1:4" ht="18" thickBot="1">
      <c r="A5" s="13" t="s">
        <v>356</v>
      </c>
      <c r="B5" s="41">
        <v>1.3</v>
      </c>
      <c r="C5" s="40">
        <v>1.242</v>
      </c>
      <c r="D5" s="40" t="s">
        <v>357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4229-C907-4FFF-9BCC-54D2F29CFD13}">
  <dimension ref="A1:N49"/>
  <sheetViews>
    <sheetView zoomScale="75" zoomScaleNormal="75" workbookViewId="0">
      <pane ySplit="4" topLeftCell="A5" activePane="bottomLeft" state="frozen"/>
      <selection activeCell="D22" sqref="D22"/>
      <selection pane="bottomLeft" activeCell="D22" sqref="D22"/>
    </sheetView>
  </sheetViews>
  <sheetFormatPr defaultRowHeight="17.399999999999999"/>
  <cols>
    <col min="1" max="1" width="8.796875" style="3"/>
    <col min="2" max="2" width="29.296875" customWidth="1"/>
    <col min="3" max="3" width="31.296875" customWidth="1"/>
    <col min="4" max="4" width="33.796875" customWidth="1"/>
    <col min="5" max="5" width="38.59765625" customWidth="1"/>
    <col min="6" max="6" width="33.59765625" customWidth="1"/>
    <col min="7" max="7" width="11.59765625" style="3" customWidth="1"/>
    <col min="8" max="8" width="18.19921875" style="3" customWidth="1"/>
    <col min="9" max="9" width="14.5" customWidth="1"/>
    <col min="10" max="10" width="15.59765625" customWidth="1"/>
    <col min="11" max="11" width="15.296875" customWidth="1"/>
    <col min="12" max="12" width="16.8984375" customWidth="1"/>
    <col min="13" max="13" width="13.796875" customWidth="1"/>
    <col min="14" max="14" width="15.19921875" customWidth="1"/>
  </cols>
  <sheetData>
    <row r="1" spans="1:14">
      <c r="A1" s="23" t="s">
        <v>215</v>
      </c>
      <c r="B1" s="23" t="s">
        <v>216</v>
      </c>
      <c r="C1" s="23" t="s">
        <v>296</v>
      </c>
      <c r="D1" s="23" t="s">
        <v>297</v>
      </c>
      <c r="E1" s="23" t="s">
        <v>298</v>
      </c>
      <c r="F1" s="23" t="s">
        <v>299</v>
      </c>
      <c r="G1" s="23" t="s">
        <v>338</v>
      </c>
      <c r="H1" s="36" t="s">
        <v>339</v>
      </c>
      <c r="I1" s="36" t="s">
        <v>340</v>
      </c>
      <c r="J1" s="36" t="s">
        <v>341</v>
      </c>
      <c r="K1" s="36" t="s">
        <v>342</v>
      </c>
      <c r="L1" s="36" t="s">
        <v>343</v>
      </c>
      <c r="M1" s="36" t="s">
        <v>344</v>
      </c>
      <c r="N1" s="33" t="s">
        <v>345</v>
      </c>
    </row>
    <row r="2" spans="1:14">
      <c r="A2" s="24">
        <v>1</v>
      </c>
      <c r="B2" s="25" t="s">
        <v>303</v>
      </c>
      <c r="C2" s="25" t="s">
        <v>308</v>
      </c>
      <c r="D2" s="25" t="s">
        <v>300</v>
      </c>
      <c r="E2" s="25" t="s">
        <v>317</v>
      </c>
      <c r="F2" s="25" t="s">
        <v>317</v>
      </c>
      <c r="G2" s="24">
        <v>5</v>
      </c>
      <c r="H2" s="34">
        <v>0.43072374899999999</v>
      </c>
      <c r="I2" s="34">
        <v>0.23675801599999999</v>
      </c>
      <c r="J2" s="34">
        <v>-7.0840711000000001E-2</v>
      </c>
      <c r="K2" s="34">
        <v>0.20739812399999999</v>
      </c>
      <c r="L2" s="34">
        <v>0.24109301599999999</v>
      </c>
      <c r="M2" s="34">
        <v>0.13886268600000001</v>
      </c>
      <c r="N2" s="39">
        <v>13</v>
      </c>
    </row>
    <row r="3" spans="1:14">
      <c r="A3" s="24">
        <f>A2+1</f>
        <v>2</v>
      </c>
      <c r="B3" s="25" t="s">
        <v>323</v>
      </c>
      <c r="C3" s="25" t="s">
        <v>322</v>
      </c>
      <c r="D3" s="25" t="s">
        <v>300</v>
      </c>
      <c r="E3" s="25" t="s">
        <v>317</v>
      </c>
      <c r="F3" s="25" t="s">
        <v>317</v>
      </c>
      <c r="G3" s="24">
        <v>5</v>
      </c>
      <c r="H3" s="34">
        <v>0.494743665</v>
      </c>
      <c r="I3" s="34">
        <v>0.117680229</v>
      </c>
      <c r="J3" s="34">
        <v>0.245901166</v>
      </c>
      <c r="K3" s="34">
        <v>0.11637557599999999</v>
      </c>
      <c r="L3" s="34">
        <v>0.35292346000000002</v>
      </c>
      <c r="M3" s="34">
        <v>9.6204670000000006E-2</v>
      </c>
      <c r="N3" s="39">
        <v>7</v>
      </c>
    </row>
    <row r="4" spans="1:14">
      <c r="A4" s="24">
        <f t="shared" ref="A4:A13" si="0">A3+1</f>
        <v>3</v>
      </c>
      <c r="B4" s="25" t="s">
        <v>301</v>
      </c>
      <c r="C4" s="25" t="s">
        <v>309</v>
      </c>
      <c r="D4" s="25" t="s">
        <v>300</v>
      </c>
      <c r="E4" s="25" t="s">
        <v>317</v>
      </c>
      <c r="F4" s="25" t="s">
        <v>317</v>
      </c>
      <c r="G4" s="24">
        <v>5</v>
      </c>
      <c r="H4" s="34">
        <v>0.52746505700000001</v>
      </c>
      <c r="I4" s="34">
        <v>0.55948173800000001</v>
      </c>
      <c r="J4" s="34">
        <v>0.138571524</v>
      </c>
      <c r="K4" s="34">
        <v>0.35738724900000002</v>
      </c>
      <c r="L4" s="34">
        <v>0.328118458</v>
      </c>
      <c r="M4" s="34">
        <v>0.46683036500000002</v>
      </c>
      <c r="N4" s="39">
        <v>13</v>
      </c>
    </row>
    <row r="5" spans="1:14">
      <c r="A5" s="24">
        <f t="shared" si="0"/>
        <v>4</v>
      </c>
      <c r="B5" s="25" t="s">
        <v>301</v>
      </c>
      <c r="C5" s="25" t="s">
        <v>313</v>
      </c>
      <c r="D5" s="25" t="s">
        <v>300</v>
      </c>
      <c r="E5" s="25" t="s">
        <v>317</v>
      </c>
      <c r="F5" s="25" t="s">
        <v>317</v>
      </c>
      <c r="G5" s="24">
        <v>5</v>
      </c>
      <c r="H5" s="34">
        <v>-0.14501661199999999</v>
      </c>
      <c r="I5" s="34">
        <v>0.56375469700000003</v>
      </c>
      <c r="J5" s="34">
        <v>-0.27312067499999998</v>
      </c>
      <c r="K5" s="34">
        <v>0.888478294</v>
      </c>
      <c r="L5" s="34">
        <v>-0.241769974</v>
      </c>
      <c r="M5" s="34">
        <v>0.47237403700000002</v>
      </c>
      <c r="N5" s="39">
        <v>13</v>
      </c>
    </row>
    <row r="6" spans="1:14">
      <c r="A6" s="24">
        <f t="shared" si="0"/>
        <v>5</v>
      </c>
      <c r="B6" s="25" t="s">
        <v>304</v>
      </c>
      <c r="C6" s="25" t="s">
        <v>310</v>
      </c>
      <c r="D6" s="25" t="s">
        <v>300</v>
      </c>
      <c r="E6" s="25" t="s">
        <v>317</v>
      </c>
      <c r="F6" s="25" t="s">
        <v>317</v>
      </c>
      <c r="G6" s="24">
        <v>5</v>
      </c>
      <c r="H6" s="34">
        <v>0.37428304200000001</v>
      </c>
      <c r="I6" s="34">
        <v>0.47810031600000003</v>
      </c>
      <c r="J6" s="34">
        <v>-0.34965737299999999</v>
      </c>
      <c r="K6" s="34">
        <v>0.45834798500000001</v>
      </c>
      <c r="L6" s="34">
        <v>0.22659343800000001</v>
      </c>
      <c r="M6" s="34">
        <v>0.38172893299999999</v>
      </c>
      <c r="N6" s="39">
        <v>10</v>
      </c>
    </row>
    <row r="7" spans="1:14">
      <c r="A7" s="24">
        <f t="shared" si="0"/>
        <v>6</v>
      </c>
      <c r="B7" s="25" t="s">
        <v>304</v>
      </c>
      <c r="C7" s="25" t="s">
        <v>314</v>
      </c>
      <c r="D7" s="25" t="s">
        <v>300</v>
      </c>
      <c r="E7" s="25" t="s">
        <v>317</v>
      </c>
      <c r="F7" s="25" t="s">
        <v>317</v>
      </c>
      <c r="G7" s="24">
        <v>5</v>
      </c>
      <c r="H7" s="34">
        <v>0.292412756</v>
      </c>
      <c r="I7" s="34">
        <v>0.421438482</v>
      </c>
      <c r="J7" s="34">
        <v>-0.43837766900000003</v>
      </c>
      <c r="K7" s="34">
        <v>0.58423815800000001</v>
      </c>
      <c r="L7" s="34">
        <v>0.15434730899999999</v>
      </c>
      <c r="M7" s="34">
        <v>0.35332635400000001</v>
      </c>
      <c r="N7" s="39">
        <v>10</v>
      </c>
    </row>
    <row r="8" spans="1:14">
      <c r="A8" s="24">
        <f t="shared" si="0"/>
        <v>7</v>
      </c>
      <c r="B8" s="25" t="s">
        <v>305</v>
      </c>
      <c r="C8" s="25" t="s">
        <v>311</v>
      </c>
      <c r="D8" s="25" t="s">
        <v>300</v>
      </c>
      <c r="E8" s="25" t="s">
        <v>317</v>
      </c>
      <c r="F8" s="25" t="s">
        <v>317</v>
      </c>
      <c r="G8" s="26">
        <v>5</v>
      </c>
      <c r="H8" s="35">
        <v>7.5656922000000001E-2</v>
      </c>
      <c r="I8" s="35">
        <v>0.39698349100000002</v>
      </c>
      <c r="J8" s="35">
        <v>-0.31054472</v>
      </c>
      <c r="K8" s="35">
        <v>0.31044703600000001</v>
      </c>
      <c r="L8" s="35">
        <v>3.8979155000000001E-2</v>
      </c>
      <c r="M8" s="35">
        <v>0.330860879</v>
      </c>
      <c r="N8" s="39">
        <v>11</v>
      </c>
    </row>
    <row r="9" spans="1:14">
      <c r="A9" s="24">
        <f t="shared" si="0"/>
        <v>8</v>
      </c>
      <c r="B9" s="25" t="s">
        <v>302</v>
      </c>
      <c r="C9" s="25" t="s">
        <v>308</v>
      </c>
      <c r="D9" s="25" t="s">
        <v>300</v>
      </c>
      <c r="E9" s="25" t="s">
        <v>318</v>
      </c>
      <c r="F9" s="25" t="s">
        <v>318</v>
      </c>
      <c r="G9" s="26">
        <v>5</v>
      </c>
      <c r="H9" s="35">
        <v>0.53124042599999999</v>
      </c>
      <c r="I9" s="35">
        <v>0.52046711899999998</v>
      </c>
      <c r="J9" s="35">
        <v>0.22685886899999999</v>
      </c>
      <c r="K9" s="35">
        <v>0.45879565900000002</v>
      </c>
      <c r="L9" s="35">
        <v>0.38783434100000003</v>
      </c>
      <c r="M9" s="35">
        <v>0.43212661299999999</v>
      </c>
      <c r="N9" s="39">
        <v>14</v>
      </c>
    </row>
    <row r="10" spans="1:14">
      <c r="A10" s="24">
        <f t="shared" si="0"/>
        <v>9</v>
      </c>
      <c r="B10" s="25" t="s">
        <v>306</v>
      </c>
      <c r="C10" s="25" t="s">
        <v>308</v>
      </c>
      <c r="D10" s="25" t="s">
        <v>300</v>
      </c>
      <c r="E10" s="25" t="s">
        <v>319</v>
      </c>
      <c r="F10" s="25" t="s">
        <v>319</v>
      </c>
      <c r="G10" s="24">
        <v>5</v>
      </c>
      <c r="H10" s="34">
        <v>0.48081860100000001</v>
      </c>
      <c r="I10" s="34">
        <v>0.51455614599999999</v>
      </c>
      <c r="J10" s="34">
        <v>7.5339529000000002E-2</v>
      </c>
      <c r="K10" s="34">
        <v>0.50390239999999997</v>
      </c>
      <c r="L10" s="34">
        <v>0.31558075200000002</v>
      </c>
      <c r="M10" s="34">
        <v>0.47709806599999999</v>
      </c>
      <c r="N10" s="39">
        <v>11</v>
      </c>
    </row>
    <row r="11" spans="1:14">
      <c r="A11" s="24">
        <f t="shared" si="0"/>
        <v>10</v>
      </c>
      <c r="B11" s="25" t="s">
        <v>307</v>
      </c>
      <c r="C11" s="25" t="s">
        <v>308</v>
      </c>
      <c r="D11" s="25" t="s">
        <v>300</v>
      </c>
      <c r="E11" s="25" t="s">
        <v>320</v>
      </c>
      <c r="F11" s="25" t="s">
        <v>320</v>
      </c>
      <c r="G11" s="24">
        <v>5</v>
      </c>
      <c r="H11" s="34">
        <v>0.45421929999999999</v>
      </c>
      <c r="I11" s="34">
        <v>0.136761354</v>
      </c>
      <c r="J11" s="34">
        <v>0.101750333</v>
      </c>
      <c r="K11" s="34">
        <v>0.16645681300000001</v>
      </c>
      <c r="L11" s="34">
        <v>0.24598837200000001</v>
      </c>
      <c r="M11" s="34">
        <v>0.200632481</v>
      </c>
      <c r="N11" s="39">
        <v>16</v>
      </c>
    </row>
    <row r="12" spans="1:14">
      <c r="A12" s="24">
        <f t="shared" si="0"/>
        <v>11</v>
      </c>
      <c r="B12" s="25" t="s">
        <v>315</v>
      </c>
      <c r="C12" s="25" t="s">
        <v>312</v>
      </c>
      <c r="D12" s="25" t="s">
        <v>300</v>
      </c>
      <c r="E12" s="25" t="s">
        <v>321</v>
      </c>
      <c r="F12" s="25" t="s">
        <v>321</v>
      </c>
      <c r="G12" s="24">
        <v>5</v>
      </c>
      <c r="H12" s="34">
        <v>0.39443104800000001</v>
      </c>
      <c r="I12" s="34">
        <v>0.17736797100000001</v>
      </c>
      <c r="J12" s="34">
        <v>2.0042850000000001E-2</v>
      </c>
      <c r="K12" s="34">
        <v>0.201252971</v>
      </c>
      <c r="L12" s="34">
        <v>0.26609756200000001</v>
      </c>
      <c r="M12" s="34">
        <v>0.124122149</v>
      </c>
      <c r="N12" s="39">
        <v>10</v>
      </c>
    </row>
    <row r="13" spans="1:14" ht="24" customHeight="1">
      <c r="A13" s="24">
        <f t="shared" si="0"/>
        <v>12</v>
      </c>
      <c r="B13" s="25" t="s">
        <v>316</v>
      </c>
      <c r="C13" s="25" t="s">
        <v>308</v>
      </c>
      <c r="D13" s="25" t="s">
        <v>300</v>
      </c>
      <c r="E13" s="25" t="s">
        <v>321</v>
      </c>
      <c r="F13" s="25" t="s">
        <v>321</v>
      </c>
      <c r="G13" s="24">
        <v>5</v>
      </c>
      <c r="H13" s="34">
        <v>0.27188506200000001</v>
      </c>
      <c r="I13" s="34">
        <v>0.22771044200000001</v>
      </c>
      <c r="J13" s="34">
        <v>-7.6856248000000002E-2</v>
      </c>
      <c r="K13" s="34">
        <v>0.258127459</v>
      </c>
      <c r="L13" s="34">
        <v>8.8978922000000002E-2</v>
      </c>
      <c r="M13" s="34">
        <v>0.19369061800000001</v>
      </c>
      <c r="N13" s="39">
        <v>14</v>
      </c>
    </row>
    <row r="14" spans="1:14">
      <c r="A14" s="24">
        <v>10</v>
      </c>
      <c r="B14" s="25"/>
      <c r="C14" s="25"/>
      <c r="D14" s="25"/>
      <c r="E14" s="25"/>
      <c r="F14" s="25"/>
      <c r="G14" s="24"/>
      <c r="H14" s="37"/>
      <c r="I14" s="37"/>
      <c r="J14" s="37"/>
      <c r="K14" s="37"/>
      <c r="L14" s="37"/>
      <c r="M14" s="38"/>
    </row>
    <row r="15" spans="1:14">
      <c r="A15" s="24">
        <v>11</v>
      </c>
      <c r="B15" s="25"/>
      <c r="C15" s="25"/>
      <c r="D15" s="25"/>
      <c r="E15" s="25"/>
      <c r="F15" s="25"/>
      <c r="G15" s="24"/>
      <c r="H15" s="24"/>
      <c r="I15" s="24"/>
      <c r="J15" s="24"/>
      <c r="K15" s="24"/>
      <c r="L15" s="24"/>
      <c r="M15" s="25"/>
    </row>
    <row r="16" spans="1:14">
      <c r="A16" s="28">
        <v>12</v>
      </c>
      <c r="B16" s="29"/>
      <c r="C16" s="29"/>
      <c r="D16" s="29"/>
      <c r="E16" s="29"/>
      <c r="F16" s="29"/>
      <c r="G16" s="28"/>
      <c r="H16" s="28"/>
      <c r="I16" s="28"/>
      <c r="J16" s="28"/>
      <c r="K16" s="28"/>
      <c r="L16" s="28"/>
      <c r="M16" s="29"/>
    </row>
    <row r="17" spans="1:13">
      <c r="A17" s="24">
        <v>13</v>
      </c>
      <c r="B17" s="25"/>
      <c r="C17" s="25"/>
      <c r="D17" s="25"/>
      <c r="E17" s="25"/>
      <c r="F17" s="25"/>
      <c r="G17" s="24"/>
      <c r="H17" s="24"/>
      <c r="I17" s="24"/>
      <c r="J17" s="24"/>
      <c r="K17" s="24"/>
      <c r="L17" s="24"/>
      <c r="M17" s="25"/>
    </row>
    <row r="18" spans="1:13">
      <c r="A18" s="30">
        <v>14</v>
      </c>
      <c r="B18" s="31"/>
      <c r="C18" s="31"/>
      <c r="D18" s="31"/>
      <c r="E18" s="31"/>
      <c r="F18" s="31"/>
      <c r="G18" s="30"/>
      <c r="H18" s="30"/>
      <c r="I18" s="30"/>
      <c r="J18" s="30"/>
      <c r="K18" s="30"/>
      <c r="L18" s="30"/>
      <c r="M18" s="31"/>
    </row>
    <row r="19" spans="1:13">
      <c r="A19" s="24">
        <v>15</v>
      </c>
      <c r="B19" s="25"/>
      <c r="C19" s="25"/>
      <c r="D19" s="25"/>
      <c r="E19" s="25"/>
      <c r="F19" s="25"/>
      <c r="G19" s="24"/>
      <c r="H19" s="24"/>
      <c r="I19" s="24"/>
      <c r="J19" s="24"/>
      <c r="K19" s="24"/>
      <c r="L19" s="24"/>
      <c r="M19" s="25"/>
    </row>
    <row r="20" spans="1:13">
      <c r="A20" s="24">
        <v>16</v>
      </c>
      <c r="B20" s="25"/>
      <c r="C20" s="25"/>
      <c r="D20" s="25"/>
      <c r="E20" s="25"/>
      <c r="F20" s="25"/>
      <c r="G20" s="24"/>
      <c r="H20" s="24"/>
      <c r="I20" s="24"/>
      <c r="J20" s="24"/>
      <c r="K20" s="24"/>
      <c r="L20" s="24"/>
      <c r="M20" s="25"/>
    </row>
    <row r="21" spans="1:13">
      <c r="A21" s="28">
        <v>17</v>
      </c>
      <c r="B21" s="29"/>
      <c r="C21" s="29"/>
      <c r="D21" s="29"/>
      <c r="E21" s="29"/>
      <c r="F21" s="29"/>
      <c r="G21" s="28"/>
      <c r="H21" s="28"/>
      <c r="I21" s="28"/>
      <c r="J21" s="28"/>
      <c r="K21" s="28"/>
      <c r="L21" s="28"/>
      <c r="M21" s="29"/>
    </row>
    <row r="22" spans="1:13" ht="64.2" customHeight="1">
      <c r="A22" s="3">
        <f t="shared" ref="A22:A26" si="1">A21+1</f>
        <v>18</v>
      </c>
      <c r="B22" s="1"/>
      <c r="C22" s="2"/>
      <c r="D22" s="2"/>
      <c r="E22" s="2"/>
      <c r="F22" s="2"/>
      <c r="H22" s="11"/>
      <c r="I22" s="3"/>
      <c r="J22" s="3"/>
    </row>
    <row r="23" spans="1:13" ht="57" customHeight="1">
      <c r="A23" s="3">
        <f t="shared" si="1"/>
        <v>19</v>
      </c>
      <c r="B23" s="1"/>
      <c r="C23" s="2"/>
      <c r="D23" s="2"/>
      <c r="E23" s="2"/>
      <c r="F23" s="2"/>
    </row>
    <row r="24" spans="1:13" ht="64.2" customHeight="1">
      <c r="A24" s="3">
        <f t="shared" si="1"/>
        <v>20</v>
      </c>
      <c r="B24" s="1"/>
      <c r="C24" s="2"/>
      <c r="D24" s="2"/>
      <c r="E24" s="2"/>
      <c r="F24" s="2"/>
      <c r="G24" s="15"/>
      <c r="H24" s="15"/>
    </row>
    <row r="25" spans="1:13">
      <c r="A25" s="3">
        <f t="shared" si="1"/>
        <v>21</v>
      </c>
      <c r="B25" s="9"/>
      <c r="C25" s="10"/>
      <c r="D25" s="10"/>
      <c r="E25" s="2"/>
      <c r="F25" s="2"/>
      <c r="G25"/>
      <c r="H25"/>
    </row>
    <row r="26" spans="1:13">
      <c r="A26" s="3">
        <f t="shared" si="1"/>
        <v>22</v>
      </c>
      <c r="B26" s="9"/>
      <c r="C26" s="10"/>
      <c r="D26" s="10"/>
      <c r="E26" s="2"/>
      <c r="F26" s="2"/>
      <c r="G26"/>
      <c r="H26"/>
    </row>
    <row r="27" spans="1:13">
      <c r="A27" s="3">
        <v>21</v>
      </c>
      <c r="B27" s="9"/>
      <c r="C27" s="10"/>
      <c r="D27" s="10"/>
      <c r="E27" s="2"/>
      <c r="F27" s="2"/>
      <c r="G27"/>
      <c r="H27"/>
    </row>
    <row r="28" spans="1:13">
      <c r="B28" s="3"/>
      <c r="G28"/>
      <c r="H28"/>
    </row>
    <row r="29" spans="1:13">
      <c r="G29"/>
      <c r="H29"/>
    </row>
    <row r="30" spans="1:13">
      <c r="G30"/>
      <c r="H30"/>
    </row>
    <row r="31" spans="1:13">
      <c r="G31"/>
      <c r="H31"/>
    </row>
    <row r="32" spans="1:13">
      <c r="A32" s="32" t="s">
        <v>63</v>
      </c>
      <c r="B32" s="32"/>
    </row>
    <row r="33" spans="1:3">
      <c r="A33" s="32" t="s">
        <v>324</v>
      </c>
      <c r="B33" s="32"/>
      <c r="C33" t="s">
        <v>39</v>
      </c>
    </row>
    <row r="34" spans="1:3">
      <c r="A34" s="32" t="s">
        <v>63</v>
      </c>
      <c r="B34" s="32"/>
    </row>
    <row r="35" spans="1:3">
      <c r="A35" s="32" t="s">
        <v>325</v>
      </c>
      <c r="B35" s="32"/>
    </row>
    <row r="36" spans="1:3">
      <c r="A36" s="32" t="s">
        <v>66</v>
      </c>
      <c r="B36" s="32"/>
    </row>
    <row r="37" spans="1:3">
      <c r="A37" s="32" t="s">
        <v>326</v>
      </c>
      <c r="B37" s="32"/>
    </row>
    <row r="38" spans="1:3">
      <c r="A38" s="32" t="s">
        <v>327</v>
      </c>
      <c r="B38" s="32"/>
    </row>
    <row r="39" spans="1:3">
      <c r="A39" s="32" t="s">
        <v>328</v>
      </c>
      <c r="B39" s="32"/>
    </row>
    <row r="40" spans="1:3">
      <c r="A40" s="32" t="s">
        <v>329</v>
      </c>
      <c r="B40" s="32"/>
    </row>
    <row r="41" spans="1:3">
      <c r="A41" s="32" t="s">
        <v>330</v>
      </c>
      <c r="B41" s="32"/>
    </row>
    <row r="42" spans="1:3">
      <c r="A42" s="32" t="s">
        <v>331</v>
      </c>
      <c r="B42" s="32"/>
    </row>
    <row r="43" spans="1:3">
      <c r="A43" s="32" t="s">
        <v>332</v>
      </c>
      <c r="B43" s="32"/>
    </row>
    <row r="44" spans="1:3">
      <c r="A44" s="32" t="s">
        <v>333</v>
      </c>
      <c r="B44" s="32"/>
    </row>
    <row r="45" spans="1:3">
      <c r="A45" s="32" t="s">
        <v>334</v>
      </c>
      <c r="B45" s="32"/>
    </row>
    <row r="46" spans="1:3">
      <c r="A46" s="32" t="s">
        <v>335</v>
      </c>
      <c r="B46" s="32"/>
    </row>
    <row r="47" spans="1:3">
      <c r="A47" s="32" t="s">
        <v>336</v>
      </c>
      <c r="B47" s="32"/>
    </row>
    <row r="48" spans="1:3">
      <c r="A48" s="32" t="s">
        <v>337</v>
      </c>
      <c r="B48" s="32"/>
    </row>
    <row r="49" spans="1:2">
      <c r="A49" s="32" t="s">
        <v>63</v>
      </c>
      <c r="B49" s="3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2D2B-4A7E-49EB-846C-FACD8E818B3E}">
  <dimension ref="B1:Y19"/>
  <sheetViews>
    <sheetView topLeftCell="A13" workbookViewId="0">
      <selection activeCell="D22" sqref="D22"/>
    </sheetView>
  </sheetViews>
  <sheetFormatPr defaultRowHeight="17.399999999999999"/>
  <cols>
    <col min="2" max="2" width="33.09765625" customWidth="1"/>
    <col min="3" max="3" width="43.8984375" customWidth="1"/>
    <col min="4" max="5" width="29.19921875" customWidth="1"/>
    <col min="18" max="22" width="8.796875" customWidth="1"/>
  </cols>
  <sheetData>
    <row r="1" spans="2:25" ht="18" thickBot="1"/>
    <row r="2" spans="2:25" ht="23.4" thickBot="1">
      <c r="B2" s="5" t="s">
        <v>18</v>
      </c>
      <c r="C2" s="5" t="s">
        <v>0</v>
      </c>
      <c r="D2" s="5" t="s">
        <v>1</v>
      </c>
      <c r="E2" s="5" t="s">
        <v>2</v>
      </c>
      <c r="G2" s="12" t="s">
        <v>97</v>
      </c>
      <c r="H2" s="12" t="s">
        <v>98</v>
      </c>
      <c r="I2" s="12" t="s">
        <v>99</v>
      </c>
      <c r="J2" s="12" t="s">
        <v>100</v>
      </c>
      <c r="K2" s="12" t="s">
        <v>101</v>
      </c>
      <c r="L2" s="12" t="s">
        <v>102</v>
      </c>
      <c r="M2" s="12" t="s">
        <v>103</v>
      </c>
      <c r="N2" s="12" t="s">
        <v>104</v>
      </c>
      <c r="O2" s="12" t="s">
        <v>105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</row>
    <row r="3" spans="2:25" ht="34.799999999999997" thickBot="1">
      <c r="B3" s="1" t="s">
        <v>5</v>
      </c>
      <c r="C3" s="1" t="s">
        <v>45</v>
      </c>
      <c r="D3" s="1" t="s">
        <v>3</v>
      </c>
      <c r="E3" s="1" t="s">
        <v>4</v>
      </c>
      <c r="G3" s="14">
        <v>1</v>
      </c>
      <c r="H3" s="14" t="s">
        <v>5</v>
      </c>
      <c r="I3" s="13" t="s">
        <v>106</v>
      </c>
      <c r="J3" s="14" t="s">
        <v>107</v>
      </c>
      <c r="K3" s="14" t="s">
        <v>108</v>
      </c>
      <c r="L3" s="14" t="s">
        <v>109</v>
      </c>
      <c r="M3" s="14" t="s">
        <v>110</v>
      </c>
      <c r="N3" s="14" t="s">
        <v>111</v>
      </c>
      <c r="O3" s="14" t="s">
        <v>112</v>
      </c>
      <c r="Q3">
        <v>1</v>
      </c>
      <c r="R3" t="s">
        <v>5</v>
      </c>
      <c r="S3" t="s">
        <v>106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  <c r="Y3" t="s">
        <v>112</v>
      </c>
    </row>
    <row r="4" spans="2:25" ht="23.4" thickBot="1">
      <c r="B4" s="1" t="s">
        <v>29</v>
      </c>
      <c r="C4" s="1" t="s">
        <v>46</v>
      </c>
      <c r="D4" s="1" t="s">
        <v>3</v>
      </c>
      <c r="E4" s="1" t="s">
        <v>4</v>
      </c>
      <c r="G4" s="14">
        <v>2</v>
      </c>
      <c r="H4" s="14" t="s">
        <v>113</v>
      </c>
      <c r="I4" s="13" t="s">
        <v>114</v>
      </c>
      <c r="J4" s="14" t="s">
        <v>115</v>
      </c>
      <c r="K4" s="14">
        <v>1.373</v>
      </c>
      <c r="L4" s="14" t="s">
        <v>116</v>
      </c>
      <c r="M4" s="14" t="s">
        <v>110</v>
      </c>
      <c r="N4" s="14" t="s">
        <v>117</v>
      </c>
      <c r="O4" s="14" t="s">
        <v>112</v>
      </c>
      <c r="Q4">
        <v>2</v>
      </c>
      <c r="R4" t="s">
        <v>113</v>
      </c>
      <c r="S4" t="s">
        <v>114</v>
      </c>
      <c r="T4" t="s">
        <v>115</v>
      </c>
      <c r="U4">
        <v>1.373</v>
      </c>
      <c r="V4" t="s">
        <v>116</v>
      </c>
      <c r="W4" t="s">
        <v>110</v>
      </c>
      <c r="X4" t="s">
        <v>117</v>
      </c>
      <c r="Y4" t="s">
        <v>112</v>
      </c>
    </row>
    <row r="5" spans="2:25" ht="34.799999999999997" thickBot="1">
      <c r="B5" s="21" t="s">
        <v>30</v>
      </c>
      <c r="C5" s="21" t="s">
        <v>47</v>
      </c>
      <c r="D5" s="21" t="s">
        <v>3</v>
      </c>
      <c r="E5" s="21" t="s">
        <v>4</v>
      </c>
      <c r="G5" s="14">
        <v>3</v>
      </c>
      <c r="H5" s="14" t="s">
        <v>90</v>
      </c>
      <c r="I5" s="14" t="s">
        <v>118</v>
      </c>
      <c r="J5" s="14" t="s">
        <v>119</v>
      </c>
      <c r="K5" s="14" t="s">
        <v>120</v>
      </c>
      <c r="L5" s="14" t="s">
        <v>121</v>
      </c>
      <c r="M5" s="14">
        <v>5</v>
      </c>
      <c r="N5" s="14" t="s">
        <v>122</v>
      </c>
      <c r="O5" s="14" t="s">
        <v>123</v>
      </c>
      <c r="Q5">
        <v>3</v>
      </c>
      <c r="R5" t="s">
        <v>90</v>
      </c>
      <c r="S5" t="s">
        <v>118</v>
      </c>
      <c r="T5" t="s">
        <v>119</v>
      </c>
      <c r="U5" t="s">
        <v>120</v>
      </c>
      <c r="V5" t="s">
        <v>121</v>
      </c>
      <c r="W5">
        <v>5</v>
      </c>
      <c r="X5" t="s">
        <v>122</v>
      </c>
      <c r="Y5" t="s">
        <v>209</v>
      </c>
    </row>
    <row r="6" spans="2:25" ht="35.4" thickBot="1">
      <c r="B6" s="1" t="s">
        <v>6</v>
      </c>
      <c r="C6" s="2" t="s">
        <v>51</v>
      </c>
      <c r="D6" s="1" t="s">
        <v>8</v>
      </c>
      <c r="E6" s="1" t="s">
        <v>9</v>
      </c>
      <c r="G6" s="14">
        <v>4</v>
      </c>
      <c r="H6" s="14" t="s">
        <v>6</v>
      </c>
      <c r="I6" s="14" t="s">
        <v>124</v>
      </c>
      <c r="J6" s="14" t="s">
        <v>125</v>
      </c>
      <c r="K6" s="14" t="s">
        <v>124</v>
      </c>
      <c r="L6" s="14" t="s">
        <v>125</v>
      </c>
      <c r="M6" s="14" t="s">
        <v>125</v>
      </c>
      <c r="N6" s="14" t="s">
        <v>126</v>
      </c>
      <c r="O6" s="14" t="s">
        <v>127</v>
      </c>
      <c r="Q6">
        <v>4</v>
      </c>
      <c r="R6" t="s">
        <v>6</v>
      </c>
      <c r="S6" t="s">
        <v>124</v>
      </c>
      <c r="T6" t="s">
        <v>125</v>
      </c>
      <c r="U6" t="s">
        <v>124</v>
      </c>
      <c r="V6" t="s">
        <v>125</v>
      </c>
      <c r="W6" t="s">
        <v>125</v>
      </c>
      <c r="X6" t="s">
        <v>126</v>
      </c>
      <c r="Y6" t="s">
        <v>127</v>
      </c>
    </row>
    <row r="7" spans="2:25" ht="46.2" thickBot="1">
      <c r="B7" s="21" t="s">
        <v>15</v>
      </c>
      <c r="C7" s="22" t="s">
        <v>51</v>
      </c>
      <c r="D7" s="21" t="s">
        <v>16</v>
      </c>
      <c r="E7" s="21" t="s">
        <v>17</v>
      </c>
      <c r="G7" s="14">
        <v>5</v>
      </c>
      <c r="H7" s="14" t="s">
        <v>91</v>
      </c>
      <c r="I7" s="14" t="s">
        <v>124</v>
      </c>
      <c r="J7" s="14" t="s">
        <v>125</v>
      </c>
      <c r="K7" s="14" t="s">
        <v>124</v>
      </c>
      <c r="L7" s="14" t="s">
        <v>125</v>
      </c>
      <c r="M7" s="14" t="s">
        <v>125</v>
      </c>
      <c r="N7" s="14" t="s">
        <v>128</v>
      </c>
      <c r="O7" s="14" t="s">
        <v>129</v>
      </c>
      <c r="Q7">
        <v>5</v>
      </c>
      <c r="R7" t="s">
        <v>91</v>
      </c>
      <c r="S7" t="s">
        <v>124</v>
      </c>
      <c r="T7" t="s">
        <v>125</v>
      </c>
      <c r="U7" t="s">
        <v>124</v>
      </c>
      <c r="V7" t="s">
        <v>125</v>
      </c>
      <c r="W7" t="s">
        <v>125</v>
      </c>
      <c r="X7" t="s">
        <v>128</v>
      </c>
      <c r="Y7" t="s">
        <v>129</v>
      </c>
    </row>
    <row r="8" spans="2:25" ht="52.8" thickBot="1">
      <c r="B8" s="1" t="s">
        <v>7</v>
      </c>
      <c r="C8" s="2" t="s">
        <v>52</v>
      </c>
      <c r="D8" s="1" t="s">
        <v>3</v>
      </c>
      <c r="E8" s="1" t="s">
        <v>4</v>
      </c>
      <c r="G8" s="14">
        <v>6</v>
      </c>
      <c r="H8" s="14" t="s">
        <v>7</v>
      </c>
      <c r="I8" s="13" t="s">
        <v>130</v>
      </c>
      <c r="J8" s="14" t="s">
        <v>131</v>
      </c>
      <c r="K8" s="14" t="s">
        <v>132</v>
      </c>
      <c r="L8" s="14" t="s">
        <v>133</v>
      </c>
      <c r="M8" s="14">
        <v>5</v>
      </c>
      <c r="N8" s="14" t="s">
        <v>134</v>
      </c>
      <c r="O8" s="14" t="s">
        <v>112</v>
      </c>
      <c r="Q8">
        <v>6</v>
      </c>
      <c r="R8" t="s">
        <v>7</v>
      </c>
      <c r="S8" t="s">
        <v>130</v>
      </c>
      <c r="T8" t="s">
        <v>131</v>
      </c>
      <c r="U8" t="s">
        <v>132</v>
      </c>
      <c r="V8" t="s">
        <v>133</v>
      </c>
      <c r="W8">
        <v>5</v>
      </c>
      <c r="X8" t="s">
        <v>134</v>
      </c>
      <c r="Y8" t="s">
        <v>112</v>
      </c>
    </row>
    <row r="9" spans="2:25" ht="35.4" thickBot="1">
      <c r="B9" s="1" t="s">
        <v>10</v>
      </c>
      <c r="C9" s="2" t="s">
        <v>48</v>
      </c>
      <c r="D9" s="1" t="s">
        <v>3</v>
      </c>
      <c r="E9" s="1" t="s">
        <v>4</v>
      </c>
      <c r="G9" s="14">
        <v>7</v>
      </c>
      <c r="H9" s="14" t="s">
        <v>135</v>
      </c>
      <c r="I9" s="13" t="s">
        <v>136</v>
      </c>
      <c r="J9" s="14" t="s">
        <v>137</v>
      </c>
      <c r="K9" s="14">
        <v>0.377</v>
      </c>
      <c r="L9" s="14" t="s">
        <v>138</v>
      </c>
      <c r="M9" s="14" t="s">
        <v>110</v>
      </c>
      <c r="N9" s="14" t="s">
        <v>139</v>
      </c>
      <c r="O9" s="14" t="s">
        <v>112</v>
      </c>
      <c r="Q9">
        <v>7</v>
      </c>
      <c r="R9" t="s">
        <v>135</v>
      </c>
      <c r="S9" t="s">
        <v>136</v>
      </c>
      <c r="T9" t="s">
        <v>137</v>
      </c>
      <c r="U9">
        <v>0.377</v>
      </c>
      <c r="V9" t="s">
        <v>138</v>
      </c>
      <c r="W9" t="s">
        <v>110</v>
      </c>
      <c r="X9" t="s">
        <v>139</v>
      </c>
      <c r="Y9" t="s">
        <v>112</v>
      </c>
    </row>
    <row r="10" spans="2:25" ht="35.4" thickBot="1">
      <c r="B10" s="1" t="s">
        <v>34</v>
      </c>
      <c r="C10" s="2" t="s">
        <v>49</v>
      </c>
      <c r="D10" s="2" t="s">
        <v>11</v>
      </c>
      <c r="E10" s="2" t="s">
        <v>12</v>
      </c>
      <c r="G10" s="14">
        <v>8</v>
      </c>
      <c r="H10" s="14" t="s">
        <v>140</v>
      </c>
      <c r="I10" s="13" t="s">
        <v>141</v>
      </c>
      <c r="J10" s="14" t="s">
        <v>142</v>
      </c>
      <c r="K10" s="14" t="s">
        <v>143</v>
      </c>
      <c r="L10" s="14" t="s">
        <v>144</v>
      </c>
      <c r="M10" s="14">
        <v>5</v>
      </c>
      <c r="N10" s="14" t="s">
        <v>145</v>
      </c>
      <c r="O10" s="14" t="s">
        <v>112</v>
      </c>
      <c r="Q10">
        <v>8</v>
      </c>
      <c r="R10" t="s">
        <v>140</v>
      </c>
      <c r="S10" t="s">
        <v>141</v>
      </c>
      <c r="T10" t="s">
        <v>142</v>
      </c>
      <c r="U10" t="s">
        <v>143</v>
      </c>
      <c r="V10" t="s">
        <v>144</v>
      </c>
      <c r="W10">
        <v>5</v>
      </c>
      <c r="X10" t="s">
        <v>145</v>
      </c>
      <c r="Y10" t="s">
        <v>112</v>
      </c>
    </row>
    <row r="11" spans="2:25" ht="35.4" thickBot="1">
      <c r="B11" s="1" t="s">
        <v>36</v>
      </c>
      <c r="C11" s="2" t="s">
        <v>50</v>
      </c>
      <c r="D11" s="2" t="s">
        <v>37</v>
      </c>
      <c r="E11" s="2" t="s">
        <v>38</v>
      </c>
      <c r="G11" s="14">
        <v>9</v>
      </c>
      <c r="H11" s="14" t="s">
        <v>146</v>
      </c>
      <c r="I11" s="13" t="s">
        <v>147</v>
      </c>
      <c r="J11" s="14" t="s">
        <v>148</v>
      </c>
      <c r="K11" s="14" t="s">
        <v>149</v>
      </c>
      <c r="L11" s="14" t="s">
        <v>150</v>
      </c>
      <c r="M11" s="14">
        <v>5</v>
      </c>
      <c r="N11" s="14" t="s">
        <v>151</v>
      </c>
      <c r="O11" s="14" t="s">
        <v>152</v>
      </c>
      <c r="Q11">
        <v>9</v>
      </c>
      <c r="R11" t="s">
        <v>146</v>
      </c>
      <c r="S11" t="s">
        <v>147</v>
      </c>
      <c r="T11" t="s">
        <v>148</v>
      </c>
      <c r="U11" t="s">
        <v>149</v>
      </c>
      <c r="V11" t="s">
        <v>150</v>
      </c>
      <c r="W11">
        <v>5</v>
      </c>
      <c r="X11" t="s">
        <v>151</v>
      </c>
      <c r="Y11" t="s">
        <v>152</v>
      </c>
    </row>
    <row r="12" spans="2:25" ht="35.4" thickBot="1">
      <c r="B12" s="4" t="s">
        <v>19</v>
      </c>
      <c r="C12" s="6" t="s">
        <v>53</v>
      </c>
      <c r="D12" s="6" t="s">
        <v>20</v>
      </c>
      <c r="E12" s="6" t="s">
        <v>21</v>
      </c>
      <c r="G12" s="14">
        <v>10</v>
      </c>
      <c r="H12" s="14" t="s">
        <v>153</v>
      </c>
      <c r="I12" s="13" t="s">
        <v>154</v>
      </c>
      <c r="J12" s="14" t="s">
        <v>155</v>
      </c>
      <c r="K12" s="14" t="s">
        <v>156</v>
      </c>
      <c r="L12" s="14" t="s">
        <v>157</v>
      </c>
      <c r="M12" s="14">
        <v>5</v>
      </c>
      <c r="N12" s="14" t="s">
        <v>158</v>
      </c>
      <c r="O12" s="14" t="s">
        <v>159</v>
      </c>
      <c r="Q12">
        <v>10</v>
      </c>
      <c r="R12" t="s">
        <v>153</v>
      </c>
      <c r="S12" t="s">
        <v>154</v>
      </c>
      <c r="T12" t="s">
        <v>155</v>
      </c>
      <c r="U12" t="s">
        <v>156</v>
      </c>
      <c r="V12" t="s">
        <v>157</v>
      </c>
      <c r="W12">
        <v>5</v>
      </c>
      <c r="X12" t="s">
        <v>158</v>
      </c>
      <c r="Y12" t="s">
        <v>159</v>
      </c>
    </row>
    <row r="13" spans="2:25" ht="35.4" thickBot="1">
      <c r="B13" s="1" t="s">
        <v>40</v>
      </c>
      <c r="C13" s="2" t="s">
        <v>50</v>
      </c>
      <c r="D13" s="2" t="s">
        <v>41</v>
      </c>
      <c r="E13" s="2" t="s">
        <v>42</v>
      </c>
      <c r="G13" s="14">
        <v>11</v>
      </c>
      <c r="H13" s="14" t="s">
        <v>160</v>
      </c>
      <c r="I13" s="13" t="s">
        <v>161</v>
      </c>
      <c r="J13" s="14" t="s">
        <v>162</v>
      </c>
      <c r="K13" s="14" t="s">
        <v>163</v>
      </c>
      <c r="L13" s="14" t="s">
        <v>164</v>
      </c>
      <c r="M13" s="14">
        <v>5</v>
      </c>
      <c r="N13" s="14" t="s">
        <v>165</v>
      </c>
      <c r="O13" s="14" t="s">
        <v>166</v>
      </c>
      <c r="Q13">
        <v>11</v>
      </c>
      <c r="R13" t="s">
        <v>160</v>
      </c>
      <c r="S13" t="s">
        <v>161</v>
      </c>
      <c r="T13" t="s">
        <v>162</v>
      </c>
      <c r="U13" t="s">
        <v>163</v>
      </c>
      <c r="V13" t="s">
        <v>164</v>
      </c>
      <c r="W13">
        <v>5</v>
      </c>
      <c r="X13" t="s">
        <v>165</v>
      </c>
      <c r="Y13" t="s">
        <v>166</v>
      </c>
    </row>
    <row r="14" spans="2:25" ht="52.8" thickBot="1">
      <c r="B14" s="7" t="s">
        <v>31</v>
      </c>
      <c r="C14" s="8" t="s">
        <v>53</v>
      </c>
      <c r="D14" s="8" t="s">
        <v>32</v>
      </c>
      <c r="E14" s="8" t="s">
        <v>33</v>
      </c>
      <c r="G14" s="14">
        <v>12</v>
      </c>
      <c r="H14" s="14" t="s">
        <v>167</v>
      </c>
      <c r="I14" s="13" t="s">
        <v>168</v>
      </c>
      <c r="J14" s="14" t="s">
        <v>169</v>
      </c>
      <c r="K14" s="14" t="s">
        <v>170</v>
      </c>
      <c r="L14" s="14" t="s">
        <v>171</v>
      </c>
      <c r="M14" s="14">
        <v>5</v>
      </c>
      <c r="N14" s="14" t="s">
        <v>172</v>
      </c>
      <c r="O14" s="14" t="s">
        <v>173</v>
      </c>
      <c r="Q14">
        <v>12</v>
      </c>
      <c r="R14" t="s">
        <v>167</v>
      </c>
      <c r="S14" t="s">
        <v>210</v>
      </c>
      <c r="T14" t="s">
        <v>169</v>
      </c>
      <c r="U14" t="s">
        <v>170</v>
      </c>
      <c r="V14" t="s">
        <v>171</v>
      </c>
      <c r="W14">
        <v>5</v>
      </c>
      <c r="X14" t="s">
        <v>172</v>
      </c>
      <c r="Y14" t="s">
        <v>173</v>
      </c>
    </row>
    <row r="15" spans="2:25" ht="52.8" thickBot="1">
      <c r="B15" s="7" t="s">
        <v>95</v>
      </c>
      <c r="C15" s="8" t="s">
        <v>53</v>
      </c>
      <c r="D15" s="8" t="s">
        <v>32</v>
      </c>
      <c r="E15" s="8" t="s">
        <v>96</v>
      </c>
      <c r="G15" s="14">
        <v>13</v>
      </c>
      <c r="H15" s="14" t="s">
        <v>174</v>
      </c>
      <c r="I15" s="13" t="s">
        <v>175</v>
      </c>
      <c r="J15" s="14" t="s">
        <v>176</v>
      </c>
      <c r="K15" s="14" t="s">
        <v>177</v>
      </c>
      <c r="L15" s="14" t="s">
        <v>178</v>
      </c>
      <c r="M15" s="14">
        <v>5</v>
      </c>
      <c r="N15" s="14" t="s">
        <v>179</v>
      </c>
      <c r="O15" s="14" t="s">
        <v>180</v>
      </c>
      <c r="Q15">
        <v>13</v>
      </c>
      <c r="R15" t="s">
        <v>174</v>
      </c>
      <c r="S15" t="s">
        <v>175</v>
      </c>
      <c r="T15" t="s">
        <v>176</v>
      </c>
      <c r="U15" t="s">
        <v>177</v>
      </c>
      <c r="V15" t="s">
        <v>178</v>
      </c>
      <c r="W15">
        <v>5</v>
      </c>
      <c r="X15" t="s">
        <v>179</v>
      </c>
      <c r="Y15" t="s">
        <v>180</v>
      </c>
    </row>
    <row r="16" spans="2:25" ht="52.8" thickBot="1">
      <c r="B16" s="1" t="s">
        <v>22</v>
      </c>
      <c r="C16" s="10" t="s">
        <v>44</v>
      </c>
      <c r="D16" s="2" t="s">
        <v>23</v>
      </c>
      <c r="E16" s="2" t="s">
        <v>24</v>
      </c>
      <c r="G16" s="14" t="s">
        <v>181</v>
      </c>
      <c r="H16" s="14" t="s">
        <v>182</v>
      </c>
      <c r="I16" s="13" t="s">
        <v>183</v>
      </c>
      <c r="J16" s="14" t="s">
        <v>184</v>
      </c>
      <c r="K16" s="13" t="s">
        <v>185</v>
      </c>
      <c r="L16" s="14" t="s">
        <v>186</v>
      </c>
      <c r="M16" s="14">
        <v>5</v>
      </c>
      <c r="N16" s="14" t="s">
        <v>187</v>
      </c>
      <c r="O16" s="14" t="s">
        <v>188</v>
      </c>
      <c r="Q16" t="s">
        <v>181</v>
      </c>
      <c r="R16" t="s">
        <v>182</v>
      </c>
      <c r="S16" t="s">
        <v>211</v>
      </c>
      <c r="T16" t="s">
        <v>184</v>
      </c>
      <c r="U16" t="s">
        <v>212</v>
      </c>
      <c r="V16" t="s">
        <v>186</v>
      </c>
      <c r="W16">
        <v>5</v>
      </c>
      <c r="X16" t="s">
        <v>187</v>
      </c>
      <c r="Y16" t="s">
        <v>213</v>
      </c>
    </row>
    <row r="17" spans="2:25" ht="52.8" thickBot="1">
      <c r="B17" s="9" t="s">
        <v>35</v>
      </c>
      <c r="C17" s="10" t="s">
        <v>44</v>
      </c>
      <c r="D17" s="10" t="s">
        <v>13</v>
      </c>
      <c r="E17" s="10" t="s">
        <v>14</v>
      </c>
      <c r="G17" s="14" t="s">
        <v>189</v>
      </c>
      <c r="H17" s="14" t="s">
        <v>190</v>
      </c>
      <c r="I17" s="13" t="s">
        <v>191</v>
      </c>
      <c r="J17" s="14" t="s">
        <v>192</v>
      </c>
      <c r="K17" s="14" t="s">
        <v>193</v>
      </c>
      <c r="L17" s="14" t="s">
        <v>194</v>
      </c>
      <c r="M17" s="14">
        <v>5</v>
      </c>
      <c r="N17" s="14" t="s">
        <v>195</v>
      </c>
      <c r="O17" s="14" t="s">
        <v>152</v>
      </c>
      <c r="Q17" t="s">
        <v>189</v>
      </c>
      <c r="R17" t="s">
        <v>190</v>
      </c>
      <c r="S17" t="s">
        <v>191</v>
      </c>
      <c r="T17" t="s">
        <v>192</v>
      </c>
      <c r="U17" t="s">
        <v>193</v>
      </c>
      <c r="V17" t="s">
        <v>194</v>
      </c>
      <c r="W17">
        <v>5</v>
      </c>
      <c r="X17" t="s">
        <v>195</v>
      </c>
      <c r="Y17" t="s">
        <v>152</v>
      </c>
    </row>
    <row r="18" spans="2:25" ht="52.8" thickBot="1">
      <c r="B18" s="1" t="s">
        <v>22</v>
      </c>
      <c r="C18" s="2" t="s">
        <v>44</v>
      </c>
      <c r="D18" s="2" t="s">
        <v>23</v>
      </c>
      <c r="E18" s="2" t="s">
        <v>24</v>
      </c>
      <c r="G18" s="14">
        <v>16</v>
      </c>
      <c r="H18" s="14" t="s">
        <v>182</v>
      </c>
      <c r="I18" s="13" t="s">
        <v>196</v>
      </c>
      <c r="J18" s="14" t="s">
        <v>197</v>
      </c>
      <c r="K18" s="14" t="s">
        <v>198</v>
      </c>
      <c r="L18" s="14" t="s">
        <v>199</v>
      </c>
      <c r="M18" s="14">
        <v>5</v>
      </c>
      <c r="N18" s="14" t="s">
        <v>200</v>
      </c>
      <c r="O18" s="13" t="s">
        <v>201</v>
      </c>
      <c r="Q18">
        <v>16</v>
      </c>
      <c r="R18" t="s">
        <v>182</v>
      </c>
      <c r="S18" t="s">
        <v>196</v>
      </c>
      <c r="T18" t="s">
        <v>197</v>
      </c>
      <c r="U18" t="s">
        <v>198</v>
      </c>
      <c r="V18" t="s">
        <v>199</v>
      </c>
      <c r="W18">
        <v>5</v>
      </c>
      <c r="X18" t="s">
        <v>200</v>
      </c>
      <c r="Y18" t="s">
        <v>201</v>
      </c>
    </row>
    <row r="19" spans="2:25" ht="52.8" thickBot="1">
      <c r="B19" s="9" t="s">
        <v>60</v>
      </c>
      <c r="C19" s="10" t="s">
        <v>44</v>
      </c>
      <c r="D19" s="2" t="s">
        <v>61</v>
      </c>
      <c r="E19" s="2" t="s">
        <v>62</v>
      </c>
      <c r="G19" s="14" t="s">
        <v>202</v>
      </c>
      <c r="H19" s="14" t="s">
        <v>167</v>
      </c>
      <c r="I19" s="13" t="s">
        <v>203</v>
      </c>
      <c r="J19" s="14" t="s">
        <v>204</v>
      </c>
      <c r="K19" s="14" t="s">
        <v>205</v>
      </c>
      <c r="L19" s="14" t="s">
        <v>206</v>
      </c>
      <c r="M19" s="14">
        <v>5</v>
      </c>
      <c r="N19" s="14" t="s">
        <v>207</v>
      </c>
      <c r="O19" s="14" t="s">
        <v>208</v>
      </c>
      <c r="Q19" t="s">
        <v>202</v>
      </c>
      <c r="R19" t="s">
        <v>167</v>
      </c>
      <c r="S19" t="s">
        <v>214</v>
      </c>
      <c r="T19" t="s">
        <v>204</v>
      </c>
      <c r="U19" t="s">
        <v>205</v>
      </c>
      <c r="V19" t="s">
        <v>206</v>
      </c>
      <c r="W19">
        <v>5</v>
      </c>
      <c r="X19" t="s">
        <v>207</v>
      </c>
      <c r="Y19" t="s">
        <v>208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1B5D-6C62-4F14-8564-AAC1DAEE6CA9}">
  <dimension ref="A1:L30"/>
  <sheetViews>
    <sheetView zoomScale="75" zoomScaleNormal="75" workbookViewId="0">
      <pane ySplit="3" topLeftCell="A17" activePane="bottomLeft" state="frozen"/>
      <selection activeCell="D22" sqref="D22"/>
      <selection pane="bottomLeft" activeCell="E17" sqref="E17"/>
    </sheetView>
  </sheetViews>
  <sheetFormatPr defaultRowHeight="17.399999999999999"/>
  <cols>
    <col min="2" max="2" width="36.59765625" customWidth="1"/>
    <col min="3" max="3" width="54.296875" customWidth="1"/>
    <col min="4" max="4" width="38.59765625" customWidth="1"/>
    <col min="5" max="5" width="33.59765625" customWidth="1"/>
    <col min="6" max="7" width="26.296875" style="3" customWidth="1"/>
    <col min="8" max="8" width="18.59765625" customWidth="1"/>
    <col min="9" max="9" width="19.09765625" customWidth="1"/>
  </cols>
  <sheetData>
    <row r="1" spans="1:12" ht="34.799999999999997">
      <c r="A1" s="23" t="s">
        <v>215</v>
      </c>
      <c r="B1" s="23" t="s">
        <v>216</v>
      </c>
      <c r="C1" s="23" t="s">
        <v>0</v>
      </c>
      <c r="D1" s="23" t="s">
        <v>1</v>
      </c>
      <c r="E1" s="23" t="s">
        <v>2</v>
      </c>
      <c r="F1" s="23" t="s">
        <v>217</v>
      </c>
      <c r="G1" s="23" t="s">
        <v>100</v>
      </c>
      <c r="H1" s="23" t="s">
        <v>101</v>
      </c>
      <c r="I1" s="23" t="s">
        <v>102</v>
      </c>
      <c r="J1" s="23" t="s">
        <v>103</v>
      </c>
      <c r="K1" s="23" t="s">
        <v>104</v>
      </c>
      <c r="L1" s="23" t="s">
        <v>105</v>
      </c>
    </row>
    <row r="2" spans="1:12" ht="34.799999999999997">
      <c r="A2" s="24">
        <v>1</v>
      </c>
      <c r="B2" s="25" t="s">
        <v>5</v>
      </c>
      <c r="C2" s="25" t="s">
        <v>45</v>
      </c>
      <c r="D2" s="25" t="s">
        <v>3</v>
      </c>
      <c r="E2" s="25" t="s">
        <v>4</v>
      </c>
      <c r="F2" s="24">
        <v>-1.9971000000000001</v>
      </c>
      <c r="G2" s="24" t="s">
        <v>218</v>
      </c>
      <c r="H2" s="24">
        <v>-0.2019</v>
      </c>
      <c r="I2" s="24" t="s">
        <v>219</v>
      </c>
      <c r="J2" s="24">
        <v>5</v>
      </c>
      <c r="K2" s="24">
        <v>1</v>
      </c>
      <c r="L2" s="25" t="s">
        <v>112</v>
      </c>
    </row>
    <row r="3" spans="1:12" ht="34.799999999999997">
      <c r="A3" s="24">
        <v>2</v>
      </c>
      <c r="B3" s="25" t="s">
        <v>113</v>
      </c>
      <c r="C3" s="25" t="s">
        <v>220</v>
      </c>
      <c r="D3" s="25" t="s">
        <v>3</v>
      </c>
      <c r="E3" s="25" t="s">
        <v>4</v>
      </c>
      <c r="F3" s="24">
        <v>-1.67</v>
      </c>
      <c r="G3" s="24" t="s">
        <v>221</v>
      </c>
      <c r="H3" s="24">
        <v>1.373</v>
      </c>
      <c r="I3" s="24" t="s">
        <v>222</v>
      </c>
      <c r="J3" s="24">
        <v>5</v>
      </c>
      <c r="K3" s="24">
        <v>2</v>
      </c>
      <c r="L3" s="25" t="s">
        <v>112</v>
      </c>
    </row>
    <row r="4" spans="1:12" ht="139.19999999999999">
      <c r="A4" s="24">
        <v>3</v>
      </c>
      <c r="B4" s="25" t="s">
        <v>90</v>
      </c>
      <c r="C4" s="25" t="s">
        <v>223</v>
      </c>
      <c r="D4" s="25" t="s">
        <v>3</v>
      </c>
      <c r="E4" s="25" t="s">
        <v>4</v>
      </c>
      <c r="F4" s="24">
        <v>-1.7306999999999999</v>
      </c>
      <c r="G4" s="24" t="s">
        <v>224</v>
      </c>
      <c r="H4" s="24">
        <v>-0.68759999999999999</v>
      </c>
      <c r="I4" s="24" t="s">
        <v>225</v>
      </c>
      <c r="J4" s="24">
        <v>5</v>
      </c>
      <c r="K4" s="24">
        <v>3</v>
      </c>
      <c r="L4" s="25" t="s">
        <v>226</v>
      </c>
    </row>
    <row r="5" spans="1:12" ht="87">
      <c r="A5" s="26">
        <v>4</v>
      </c>
      <c r="B5" s="27" t="s">
        <v>6</v>
      </c>
      <c r="C5" s="27" t="s">
        <v>227</v>
      </c>
      <c r="D5" s="27" t="s">
        <v>228</v>
      </c>
      <c r="E5" s="27" t="s">
        <v>229</v>
      </c>
      <c r="F5" s="26" t="s">
        <v>124</v>
      </c>
      <c r="G5" s="26" t="s">
        <v>124</v>
      </c>
      <c r="H5" s="26" t="s">
        <v>124</v>
      </c>
      <c r="I5" s="26" t="s">
        <v>124</v>
      </c>
      <c r="J5" s="26">
        <v>0</v>
      </c>
      <c r="K5" s="26">
        <v>4</v>
      </c>
      <c r="L5" s="27" t="s">
        <v>230</v>
      </c>
    </row>
    <row r="6" spans="1:12" ht="156.6">
      <c r="A6" s="26">
        <v>5</v>
      </c>
      <c r="B6" s="27" t="s">
        <v>91</v>
      </c>
      <c r="C6" s="27" t="s">
        <v>227</v>
      </c>
      <c r="D6" s="27" t="s">
        <v>231</v>
      </c>
      <c r="E6" s="27" t="s">
        <v>232</v>
      </c>
      <c r="F6" s="26" t="s">
        <v>124</v>
      </c>
      <c r="G6" s="26" t="s">
        <v>124</v>
      </c>
      <c r="H6" s="26" t="s">
        <v>124</v>
      </c>
      <c r="I6" s="26" t="s">
        <v>124</v>
      </c>
      <c r="J6" s="26">
        <v>0</v>
      </c>
      <c r="K6" s="26">
        <v>24</v>
      </c>
      <c r="L6" s="27" t="s">
        <v>233</v>
      </c>
    </row>
    <row r="7" spans="1:12" ht="34.799999999999997">
      <c r="A7" s="24">
        <v>6</v>
      </c>
      <c r="B7" s="25" t="s">
        <v>7</v>
      </c>
      <c r="C7" s="25" t="s">
        <v>234</v>
      </c>
      <c r="D7" s="25" t="s">
        <v>3</v>
      </c>
      <c r="E7" s="25" t="s">
        <v>4</v>
      </c>
      <c r="F7" s="24">
        <v>-1.8694</v>
      </c>
      <c r="G7" s="24" t="s">
        <v>235</v>
      </c>
      <c r="H7" s="24">
        <v>-0.28139999999999998</v>
      </c>
      <c r="I7" s="24" t="s">
        <v>236</v>
      </c>
      <c r="J7" s="24">
        <v>5</v>
      </c>
      <c r="K7" s="24">
        <v>6</v>
      </c>
      <c r="L7" s="25" t="s">
        <v>112</v>
      </c>
    </row>
    <row r="8" spans="1:12" ht="34.799999999999997">
      <c r="A8" s="24">
        <v>7</v>
      </c>
      <c r="B8" s="25" t="s">
        <v>135</v>
      </c>
      <c r="C8" s="25" t="s">
        <v>237</v>
      </c>
      <c r="D8" s="25" t="s">
        <v>3</v>
      </c>
      <c r="E8" s="25" t="s">
        <v>4</v>
      </c>
      <c r="F8" s="24">
        <v>-1.9263999999999999</v>
      </c>
      <c r="G8" s="24" t="s">
        <v>238</v>
      </c>
      <c r="H8" s="24">
        <v>0.37680000000000002</v>
      </c>
      <c r="I8" s="24" t="s">
        <v>239</v>
      </c>
      <c r="J8" s="24">
        <v>5</v>
      </c>
      <c r="K8" s="24">
        <v>7</v>
      </c>
      <c r="L8" s="25" t="s">
        <v>112</v>
      </c>
    </row>
    <row r="9" spans="1:12" ht="34.799999999999997">
      <c r="A9" s="24">
        <v>8</v>
      </c>
      <c r="B9" s="25" t="s">
        <v>240</v>
      </c>
      <c r="C9" s="25" t="s">
        <v>241</v>
      </c>
      <c r="D9" s="25" t="s">
        <v>242</v>
      </c>
      <c r="E9" s="25" t="s">
        <v>243</v>
      </c>
      <c r="F9" s="24">
        <v>-2.0880000000000001</v>
      </c>
      <c r="G9" s="24" t="s">
        <v>244</v>
      </c>
      <c r="H9" s="24">
        <v>-0.99139999999999995</v>
      </c>
      <c r="I9" s="24" t="s">
        <v>245</v>
      </c>
      <c r="J9" s="24">
        <v>5</v>
      </c>
      <c r="K9" s="24">
        <v>8</v>
      </c>
      <c r="L9" s="25" t="s">
        <v>112</v>
      </c>
    </row>
    <row r="10" spans="1:12" ht="40.799999999999997" customHeight="1">
      <c r="A10" s="24">
        <v>9</v>
      </c>
      <c r="B10" s="25" t="s">
        <v>246</v>
      </c>
      <c r="C10" s="25" t="s">
        <v>227</v>
      </c>
      <c r="D10" s="25" t="s">
        <v>247</v>
      </c>
      <c r="E10" s="25" t="s">
        <v>248</v>
      </c>
      <c r="F10" s="24">
        <v>-1.8463000000000001</v>
      </c>
      <c r="G10" s="24" t="s">
        <v>249</v>
      </c>
      <c r="H10" s="24">
        <v>-1.0787</v>
      </c>
      <c r="I10" s="24" t="s">
        <v>250</v>
      </c>
      <c r="J10" s="24">
        <v>5</v>
      </c>
      <c r="K10" s="24">
        <v>25</v>
      </c>
      <c r="L10" s="25" t="s">
        <v>152</v>
      </c>
    </row>
    <row r="11" spans="1:12" ht="34.799999999999997">
      <c r="A11" s="24">
        <v>10</v>
      </c>
      <c r="B11" s="25" t="s">
        <v>251</v>
      </c>
      <c r="C11" s="25" t="s">
        <v>252</v>
      </c>
      <c r="D11" s="25" t="s">
        <v>253</v>
      </c>
      <c r="E11" s="25" t="s">
        <v>254</v>
      </c>
      <c r="F11" s="24">
        <v>-1.9758</v>
      </c>
      <c r="G11" s="24" t="s">
        <v>255</v>
      </c>
      <c r="H11" s="24">
        <v>-1.0931999999999999</v>
      </c>
      <c r="I11" s="24" t="s">
        <v>256</v>
      </c>
      <c r="J11" s="24">
        <v>5</v>
      </c>
      <c r="K11" s="24">
        <v>12</v>
      </c>
      <c r="L11" s="25" t="s">
        <v>159</v>
      </c>
    </row>
    <row r="12" spans="1:12" ht="34.799999999999997">
      <c r="A12" s="24">
        <v>11</v>
      </c>
      <c r="B12" s="25" t="s">
        <v>93</v>
      </c>
      <c r="C12" s="25" t="s">
        <v>227</v>
      </c>
      <c r="D12" s="25" t="s">
        <v>257</v>
      </c>
      <c r="E12" s="25" t="s">
        <v>258</v>
      </c>
      <c r="F12" s="24">
        <v>-2.0488</v>
      </c>
      <c r="G12" s="24" t="s">
        <v>259</v>
      </c>
      <c r="H12" s="24">
        <v>-0.99570000000000003</v>
      </c>
      <c r="I12" s="24" t="s">
        <v>260</v>
      </c>
      <c r="J12" s="24">
        <v>5</v>
      </c>
      <c r="K12" s="24">
        <v>22</v>
      </c>
      <c r="L12" s="25" t="s">
        <v>166</v>
      </c>
    </row>
    <row r="13" spans="1:12" ht="121.8">
      <c r="A13" s="28">
        <v>12</v>
      </c>
      <c r="B13" s="29" t="s">
        <v>92</v>
      </c>
      <c r="C13" s="29" t="s">
        <v>252</v>
      </c>
      <c r="D13" s="29" t="s">
        <v>261</v>
      </c>
      <c r="E13" s="29" t="s">
        <v>262</v>
      </c>
      <c r="F13" s="28">
        <v>-1.6556999999999999</v>
      </c>
      <c r="G13" s="28" t="s">
        <v>263</v>
      </c>
      <c r="H13" s="28">
        <v>-0.59050000000000002</v>
      </c>
      <c r="I13" s="28" t="s">
        <v>264</v>
      </c>
      <c r="J13" s="28">
        <v>5</v>
      </c>
      <c r="K13" s="28">
        <v>26</v>
      </c>
      <c r="L13" s="29" t="s">
        <v>265</v>
      </c>
    </row>
    <row r="14" spans="1:12" ht="208.8">
      <c r="A14" s="24">
        <v>13</v>
      </c>
      <c r="B14" s="25" t="s">
        <v>94</v>
      </c>
      <c r="C14" s="25" t="s">
        <v>252</v>
      </c>
      <c r="D14" s="25" t="s">
        <v>266</v>
      </c>
      <c r="E14" s="25" t="s">
        <v>267</v>
      </c>
      <c r="F14" s="24">
        <v>-2.1377000000000002</v>
      </c>
      <c r="G14" s="24" t="s">
        <v>268</v>
      </c>
      <c r="H14" s="24">
        <v>-1.5461</v>
      </c>
      <c r="I14" s="24" t="s">
        <v>269</v>
      </c>
      <c r="J14" s="24">
        <v>5</v>
      </c>
      <c r="K14" s="24">
        <v>23</v>
      </c>
      <c r="L14" s="25" t="s">
        <v>270</v>
      </c>
    </row>
    <row r="15" spans="1:12" ht="226.2">
      <c r="A15" s="30">
        <v>14</v>
      </c>
      <c r="B15" s="31" t="s">
        <v>271</v>
      </c>
      <c r="C15" s="31" t="s">
        <v>272</v>
      </c>
      <c r="D15" s="31" t="s">
        <v>273</v>
      </c>
      <c r="E15" s="31" t="s">
        <v>274</v>
      </c>
      <c r="F15" s="30">
        <v>-2.1907000000000001</v>
      </c>
      <c r="G15" s="30" t="s">
        <v>275</v>
      </c>
      <c r="H15" s="30">
        <v>-1.7336</v>
      </c>
      <c r="I15" s="30" t="s">
        <v>276</v>
      </c>
      <c r="J15" s="30">
        <v>5</v>
      </c>
      <c r="K15" s="30">
        <v>14</v>
      </c>
      <c r="L15" s="31" t="s">
        <v>277</v>
      </c>
    </row>
    <row r="16" spans="1:12" ht="87">
      <c r="A16" s="24">
        <v>15</v>
      </c>
      <c r="B16" s="25" t="s">
        <v>278</v>
      </c>
      <c r="C16" s="25" t="s">
        <v>272</v>
      </c>
      <c r="D16" s="25" t="s">
        <v>279</v>
      </c>
      <c r="E16" s="25" t="s">
        <v>280</v>
      </c>
      <c r="F16" s="24">
        <v>-2.1213000000000002</v>
      </c>
      <c r="G16" s="24" t="s">
        <v>281</v>
      </c>
      <c r="H16" s="24">
        <v>-1.3012999999999999</v>
      </c>
      <c r="I16" s="24" t="s">
        <v>282</v>
      </c>
      <c r="J16" s="24">
        <v>5</v>
      </c>
      <c r="K16" s="24">
        <v>27</v>
      </c>
      <c r="L16" s="25" t="s">
        <v>283</v>
      </c>
    </row>
    <row r="17" spans="1:12" ht="208.8">
      <c r="A17" s="24">
        <v>16</v>
      </c>
      <c r="B17" s="25" t="s">
        <v>284</v>
      </c>
      <c r="C17" s="25" t="s">
        <v>285</v>
      </c>
      <c r="D17" s="25" t="s">
        <v>273</v>
      </c>
      <c r="E17" s="25" t="s">
        <v>274</v>
      </c>
      <c r="F17" s="24">
        <v>-1.8947000000000001</v>
      </c>
      <c r="G17" s="24" t="s">
        <v>286</v>
      </c>
      <c r="H17" s="24">
        <v>-1.1694</v>
      </c>
      <c r="I17" s="24" t="s">
        <v>287</v>
      </c>
      <c r="J17" s="24">
        <v>5</v>
      </c>
      <c r="K17" s="24">
        <v>18</v>
      </c>
      <c r="L17" s="25" t="s">
        <v>288</v>
      </c>
    </row>
    <row r="18" spans="1:12" ht="156.6">
      <c r="A18" s="28">
        <v>17</v>
      </c>
      <c r="B18" s="29" t="s">
        <v>289</v>
      </c>
      <c r="C18" s="29" t="s">
        <v>290</v>
      </c>
      <c r="D18" s="29" t="s">
        <v>291</v>
      </c>
      <c r="E18" s="29" t="s">
        <v>292</v>
      </c>
      <c r="F18" s="28">
        <v>-1.8183</v>
      </c>
      <c r="G18" s="28" t="s">
        <v>293</v>
      </c>
      <c r="H18" s="28">
        <v>-0.51480000000000004</v>
      </c>
      <c r="I18" s="28" t="s">
        <v>294</v>
      </c>
      <c r="J18" s="28">
        <v>5</v>
      </c>
      <c r="K18" s="28">
        <v>28</v>
      </c>
      <c r="L18" s="29" t="s">
        <v>295</v>
      </c>
    </row>
    <row r="19" spans="1:12" ht="64.2" customHeight="1">
      <c r="A19">
        <f t="shared" ref="A19:A23" si="0">A18+1</f>
        <v>18</v>
      </c>
      <c r="B19" s="1" t="s">
        <v>40</v>
      </c>
      <c r="C19" s="2" t="s">
        <v>50</v>
      </c>
      <c r="D19" s="2" t="s">
        <v>41</v>
      </c>
      <c r="E19" s="2" t="s">
        <v>42</v>
      </c>
      <c r="F19" s="3">
        <v>-2.0415000000000001</v>
      </c>
      <c r="G19" s="11" t="s">
        <v>43</v>
      </c>
      <c r="H19" s="3"/>
      <c r="I19" s="3"/>
    </row>
    <row r="20" spans="1:12" ht="57" customHeight="1">
      <c r="A20">
        <f t="shared" si="0"/>
        <v>19</v>
      </c>
      <c r="B20" s="1" t="s">
        <v>22</v>
      </c>
      <c r="C20" s="2" t="s">
        <v>44</v>
      </c>
      <c r="D20" s="2" t="s">
        <v>23</v>
      </c>
      <c r="E20" s="2" t="s">
        <v>24</v>
      </c>
      <c r="F20" s="3">
        <v>-1.9321999999999999</v>
      </c>
      <c r="G20" s="3" t="s">
        <v>56</v>
      </c>
    </row>
    <row r="21" spans="1:12" ht="64.2" customHeight="1">
      <c r="A21">
        <f t="shared" si="0"/>
        <v>20</v>
      </c>
      <c r="B21" s="1" t="s">
        <v>26</v>
      </c>
      <c r="C21" s="2" t="s">
        <v>44</v>
      </c>
      <c r="D21" s="2" t="s">
        <v>27</v>
      </c>
      <c r="E21" s="2" t="s">
        <v>28</v>
      </c>
      <c r="F21" s="15" t="s">
        <v>55</v>
      </c>
      <c r="G21" s="15" t="s">
        <v>54</v>
      </c>
    </row>
    <row r="22" spans="1:12" ht="52.2">
      <c r="A22">
        <f t="shared" si="0"/>
        <v>21</v>
      </c>
      <c r="B22" s="9" t="s">
        <v>57</v>
      </c>
      <c r="C22" s="10" t="s">
        <v>44</v>
      </c>
      <c r="D22" s="2" t="s">
        <v>58</v>
      </c>
      <c r="E22" s="2" t="s">
        <v>59</v>
      </c>
      <c r="F22"/>
      <c r="G22"/>
    </row>
    <row r="23" spans="1:12" ht="52.2">
      <c r="A23">
        <f t="shared" si="0"/>
        <v>22</v>
      </c>
      <c r="B23" s="9" t="s">
        <v>60</v>
      </c>
      <c r="C23" s="10" t="s">
        <v>44</v>
      </c>
      <c r="D23" s="2" t="s">
        <v>61</v>
      </c>
      <c r="E23" s="2" t="s">
        <v>62</v>
      </c>
      <c r="F23"/>
      <c r="G23"/>
    </row>
    <row r="24" spans="1:12" ht="52.2">
      <c r="A24">
        <v>21</v>
      </c>
      <c r="B24" s="9" t="s">
        <v>89</v>
      </c>
      <c r="C24" s="10" t="s">
        <v>44</v>
      </c>
      <c r="D24" s="2" t="s">
        <v>61</v>
      </c>
      <c r="E24" s="2" t="s">
        <v>62</v>
      </c>
      <c r="F24"/>
      <c r="G24"/>
    </row>
    <row r="25" spans="1:12">
      <c r="B25" s="3"/>
      <c r="F25"/>
      <c r="G25"/>
    </row>
    <row r="26" spans="1:12">
      <c r="F26"/>
      <c r="G26"/>
    </row>
    <row r="27" spans="1:12">
      <c r="F27"/>
      <c r="G27"/>
    </row>
    <row r="28" spans="1:12">
      <c r="F28"/>
      <c r="G28"/>
    </row>
    <row r="30" spans="1:12">
      <c r="C30" t="s">
        <v>39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0342-1C2C-48F7-903F-A766D8868A0F}">
  <dimension ref="A1:B37"/>
  <sheetViews>
    <sheetView topLeftCell="A7" workbookViewId="0">
      <selection activeCell="D22" sqref="D22"/>
    </sheetView>
  </sheetViews>
  <sheetFormatPr defaultRowHeight="17.399999999999999"/>
  <cols>
    <col min="1" max="1" width="36.8984375" customWidth="1"/>
  </cols>
  <sheetData>
    <row r="1" spans="1:2">
      <c r="B1" s="18" t="s">
        <v>73</v>
      </c>
    </row>
    <row r="2" spans="1:2">
      <c r="B2" s="19"/>
    </row>
    <row r="3" spans="1:2">
      <c r="B3" s="19" t="s">
        <v>63</v>
      </c>
    </row>
    <row r="4" spans="1:2">
      <c r="B4" s="20" t="s">
        <v>64</v>
      </c>
    </row>
    <row r="5" spans="1:2">
      <c r="B5" s="19" t="s">
        <v>63</v>
      </c>
    </row>
    <row r="6" spans="1:2">
      <c r="B6" s="19" t="s">
        <v>65</v>
      </c>
    </row>
    <row r="7" spans="1:2">
      <c r="A7" s="5" t="s">
        <v>18</v>
      </c>
      <c r="B7" s="20" t="s">
        <v>66</v>
      </c>
    </row>
    <row r="8" spans="1:2">
      <c r="A8" s="1" t="s">
        <v>5</v>
      </c>
      <c r="B8" s="19" t="s">
        <v>67</v>
      </c>
    </row>
    <row r="9" spans="1:2">
      <c r="A9" s="1" t="s">
        <v>29</v>
      </c>
      <c r="B9" s="19" t="s">
        <v>68</v>
      </c>
    </row>
    <row r="10" spans="1:2">
      <c r="A10" s="1" t="s">
        <v>30</v>
      </c>
      <c r="B10" s="19" t="s">
        <v>69</v>
      </c>
    </row>
    <row r="11" spans="1:2">
      <c r="A11" s="1" t="s">
        <v>6</v>
      </c>
      <c r="B11" s="19" t="s">
        <v>70</v>
      </c>
    </row>
    <row r="12" spans="1:2">
      <c r="A12" s="1" t="s">
        <v>15</v>
      </c>
      <c r="B12" s="19" t="s">
        <v>71</v>
      </c>
    </row>
    <row r="13" spans="1:2">
      <c r="A13" s="1" t="s">
        <v>7</v>
      </c>
      <c r="B13" s="20" t="s">
        <v>72</v>
      </c>
    </row>
    <row r="14" spans="1:2">
      <c r="A14" s="1" t="s">
        <v>10</v>
      </c>
      <c r="B14" s="19" t="s">
        <v>74</v>
      </c>
    </row>
    <row r="15" spans="1:2">
      <c r="A15" s="1" t="s">
        <v>34</v>
      </c>
      <c r="B15" s="19" t="s">
        <v>75</v>
      </c>
    </row>
    <row r="16" spans="1:2">
      <c r="A16" s="1" t="s">
        <v>36</v>
      </c>
      <c r="B16" s="19" t="s">
        <v>76</v>
      </c>
    </row>
    <row r="17" spans="1:2">
      <c r="A17" s="4" t="s">
        <v>19</v>
      </c>
      <c r="B17" s="19" t="s">
        <v>77</v>
      </c>
    </row>
    <row r="18" spans="1:2">
      <c r="A18" s="7" t="s">
        <v>31</v>
      </c>
      <c r="B18" s="19" t="s">
        <v>78</v>
      </c>
    </row>
    <row r="19" spans="1:2">
      <c r="A19" s="1" t="s">
        <v>25</v>
      </c>
      <c r="B19" s="19" t="s">
        <v>79</v>
      </c>
    </row>
    <row r="20" spans="1:2">
      <c r="A20" s="1" t="s">
        <v>22</v>
      </c>
      <c r="B20" s="19" t="s">
        <v>80</v>
      </c>
    </row>
    <row r="21" spans="1:2">
      <c r="A21" s="1" t="s">
        <v>26</v>
      </c>
      <c r="B21" s="19" t="s">
        <v>81</v>
      </c>
    </row>
    <row r="22" spans="1:2">
      <c r="A22" s="9" t="s">
        <v>35</v>
      </c>
      <c r="B22" s="19" t="s">
        <v>82</v>
      </c>
    </row>
    <row r="23" spans="1:2">
      <c r="A23" s="1" t="s">
        <v>40</v>
      </c>
      <c r="B23" s="19" t="s">
        <v>83</v>
      </c>
    </row>
    <row r="24" spans="1:2">
      <c r="A24" s="1" t="s">
        <v>22</v>
      </c>
      <c r="B24" s="19" t="s">
        <v>84</v>
      </c>
    </row>
    <row r="25" spans="1:2">
      <c r="A25" s="1" t="s">
        <v>26</v>
      </c>
      <c r="B25" s="19" t="s">
        <v>85</v>
      </c>
    </row>
    <row r="26" spans="1:2">
      <c r="A26" s="9" t="s">
        <v>57</v>
      </c>
      <c r="B26" s="19" t="s">
        <v>86</v>
      </c>
    </row>
    <row r="27" spans="1:2">
      <c r="A27" s="9" t="s">
        <v>60</v>
      </c>
      <c r="B27" s="19" t="s">
        <v>87</v>
      </c>
    </row>
    <row r="28" spans="1:2">
      <c r="A28" s="9" t="s">
        <v>89</v>
      </c>
      <c r="B28" s="19" t="s">
        <v>88</v>
      </c>
    </row>
    <row r="29" spans="1:2">
      <c r="B29" s="16"/>
    </row>
    <row r="30" spans="1:2">
      <c r="B30" s="16"/>
    </row>
    <row r="31" spans="1:2">
      <c r="B31" s="16"/>
    </row>
    <row r="32" spans="1:2">
      <c r="B32" s="16"/>
    </row>
    <row r="33" spans="2:2">
      <c r="B33" s="16"/>
    </row>
    <row r="35" spans="2:2">
      <c r="B35" s="16"/>
    </row>
    <row r="36" spans="2:2">
      <c r="B36" s="16"/>
    </row>
    <row r="37" spans="2:2">
      <c r="B37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ablation 5.22</vt:lpstr>
      <vt:lpstr>어블리션재설계</vt:lpstr>
      <vt:lpstr>Ablation Summary</vt:lpstr>
      <vt:lpstr>HP Sweep Grid</vt:lpstr>
      <vt:lpstr>tuning_log</vt:lpstr>
      <vt:lpstr>tunning</vt:lpstr>
      <vt:lpstr>최초성공결과</vt:lpstr>
      <vt:lpstr>실험_3</vt:lpstr>
      <vt:lpstr>실험v2</vt:lpstr>
      <vt:lpstr>실험_1</vt:lpstr>
      <vt:lpstr>실험_1_코랩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희승 정</dc:creator>
  <cp:lastModifiedBy>희승 정</cp:lastModifiedBy>
  <dcterms:created xsi:type="dcterms:W3CDTF">2026-04-29T01:05:33Z</dcterms:created>
  <dcterms:modified xsi:type="dcterms:W3CDTF">2026-05-22T11:46:33Z</dcterms:modified>
</cp:coreProperties>
</file>